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filterPrivacy="1" codeName="ThisWorkbook"/>
  <xr:revisionPtr revIDLastSave="0" documentId="13_ncr:1_{DE3AAF64-1D63-4A0D-81E9-2A8E2BB90289}" xr6:coauthVersionLast="45" xr6:coauthVersionMax="45" xr10:uidLastSave="{00000000-0000-0000-0000-000000000000}"/>
  <bookViews>
    <workbookView xWindow="810" yWindow="-120" windowWidth="19800" windowHeight="11760" tabRatio="856" activeTab="2" xr2:uid="{00000000-000D-0000-FFFF-FFFF00000000}"/>
  </bookViews>
  <sheets>
    <sheet name="BH-LCB" sheetId="2" r:id="rId1"/>
    <sheet name="Templ" sheetId="1" state="hidden" r:id="rId2"/>
    <sheet name="NT018-Hồ Nhân Trí " sheetId="31" r:id="rId3"/>
  </sheets>
  <functionGroups builtInGroupCount="19"/>
  <definedNames>
    <definedName name="bao_hiem">'BH-LCB'!$BH:$BV</definedName>
    <definedName name="cham_cong">'BH-LCB'!$A:$AJ</definedName>
    <definedName name="cham_cong_2">'BH-LCB'!$A$4:$AJ$38</definedName>
    <definedName name="cham_cong_3">'BH-LCB'!$A$3:$AJ$42</definedName>
    <definedName name="thue">'BH-LCB'!$BX:$CO</definedName>
    <definedName name="tien_luong">'BH-LCB'!$AL:$BF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I24" i="2" l="1"/>
  <c r="CD24" i="2"/>
  <c r="CE24" i="2" s="1"/>
  <c r="CC24" i="2"/>
  <c r="CB24" i="2"/>
  <c r="CA24" i="2"/>
  <c r="BZ24" i="2"/>
  <c r="AW24" i="2"/>
  <c r="AX24" i="2" s="1"/>
  <c r="AT24" i="2"/>
  <c r="AI24" i="2"/>
  <c r="CF24" i="2" s="1"/>
  <c r="CG24" i="2" l="1"/>
  <c r="AY24" i="2"/>
  <c r="BK24" i="2"/>
  <c r="AZ24" i="2"/>
  <c r="AU24" i="2"/>
  <c r="AV24" i="2" s="1"/>
  <c r="BA24" i="2"/>
  <c r="BB24" i="2" l="1"/>
  <c r="CK24" i="2" s="1"/>
  <c r="CL24" i="2" s="1"/>
  <c r="CM24" i="2" s="1"/>
  <c r="CN24" i="2" s="1"/>
  <c r="BC24" i="2" s="1"/>
  <c r="BE24" i="2" s="1"/>
  <c r="BP24" i="2"/>
  <c r="BO24" i="2"/>
  <c r="BN24" i="2"/>
  <c r="BS24" i="2"/>
  <c r="BM24" i="2"/>
  <c r="BR24" i="2"/>
  <c r="BL24" i="2"/>
  <c r="BQ24" i="2"/>
  <c r="BU24" i="2" l="1"/>
  <c r="BT24" i="2"/>
  <c r="BA31" i="2" l="1"/>
  <c r="BB31" i="2" s="1"/>
  <c r="CK31" i="2" s="1"/>
  <c r="BF33" i="2" l="1"/>
  <c r="AT31" i="2" l="1"/>
  <c r="BZ26" i="2"/>
  <c r="BZ27" i="2"/>
  <c r="BZ28" i="2"/>
  <c r="BZ29" i="2"/>
  <c r="BZ30" i="2"/>
  <c r="BZ31" i="2"/>
  <c r="CC25" i="2"/>
  <c r="CC26" i="2"/>
  <c r="CC27" i="2"/>
  <c r="CC28" i="2"/>
  <c r="CC29" i="2"/>
  <c r="CC30" i="2"/>
  <c r="CC31" i="2"/>
  <c r="CI17" i="2"/>
  <c r="CI18" i="2"/>
  <c r="CI19" i="2"/>
  <c r="CI20" i="2"/>
  <c r="CI21" i="2"/>
  <c r="CI22" i="2"/>
  <c r="CI23" i="2"/>
  <c r="CI25" i="2"/>
  <c r="CI26" i="2"/>
  <c r="CI27" i="2"/>
  <c r="CI28" i="2"/>
  <c r="CI29" i="2"/>
  <c r="CI30" i="2"/>
  <c r="CI31" i="2"/>
  <c r="CL31" i="2" s="1"/>
  <c r="AI16" i="2" l="1"/>
  <c r="AU16" i="2" s="1"/>
  <c r="AI17" i="2"/>
  <c r="AU17" i="2" s="1"/>
  <c r="AI18" i="2"/>
  <c r="AU18" i="2" s="1"/>
  <c r="AI19" i="2"/>
  <c r="AU19" i="2" s="1"/>
  <c r="AI20" i="2"/>
  <c r="AU20" i="2" s="1"/>
  <c r="AI21" i="2"/>
  <c r="AU21" i="2" s="1"/>
  <c r="AI22" i="2"/>
  <c r="AU22" i="2" s="1"/>
  <c r="AI23" i="2"/>
  <c r="AU23" i="2" s="1"/>
  <c r="AI25" i="2"/>
  <c r="AU25" i="2" s="1"/>
  <c r="AI26" i="2"/>
  <c r="AU26" i="2" s="1"/>
  <c r="AI27" i="2"/>
  <c r="AU27" i="2" s="1"/>
  <c r="AI28" i="2"/>
  <c r="AU28" i="2" s="1"/>
  <c r="AI29" i="2"/>
  <c r="AU29" i="2" s="1"/>
  <c r="AI30" i="2"/>
  <c r="AU30" i="2" s="1"/>
  <c r="AI31" i="2"/>
  <c r="AU31" i="2" s="1"/>
  <c r="AV31" i="2" s="1"/>
  <c r="BE31" i="2" s="1"/>
  <c r="AI15" i="2" l="1"/>
  <c r="CI15" i="2" l="1"/>
  <c r="CI16" i="2"/>
  <c r="AT15" i="2"/>
  <c r="AW15" i="2"/>
  <c r="BA15" i="2" s="1"/>
  <c r="CG31" i="2" l="1"/>
  <c r="CE31" i="2"/>
  <c r="BK31" i="2"/>
  <c r="CD30" i="2"/>
  <c r="CB30" i="2"/>
  <c r="CA30" i="2"/>
  <c r="AW30" i="2"/>
  <c r="AT30" i="2"/>
  <c r="AV30" i="2" s="1"/>
  <c r="CF30" i="2"/>
  <c r="CD29" i="2"/>
  <c r="CB29" i="2"/>
  <c r="CA29" i="2"/>
  <c r="AW29" i="2"/>
  <c r="AT29" i="2"/>
  <c r="AV29" i="2" s="1"/>
  <c r="CF29" i="2"/>
  <c r="CD28" i="2"/>
  <c r="CB28" i="2"/>
  <c r="CA28" i="2"/>
  <c r="AW28" i="2"/>
  <c r="AT28" i="2"/>
  <c r="AV28" i="2" s="1"/>
  <c r="CF28" i="2"/>
  <c r="CD27" i="2"/>
  <c r="CB27" i="2"/>
  <c r="CA27" i="2"/>
  <c r="AW27" i="2"/>
  <c r="AT27" i="2"/>
  <c r="AV27" i="2" s="1"/>
  <c r="CF27" i="2"/>
  <c r="CD26" i="2"/>
  <c r="CB26" i="2"/>
  <c r="CA26" i="2"/>
  <c r="AW26" i="2"/>
  <c r="AT26" i="2"/>
  <c r="AV26" i="2" s="1"/>
  <c r="CD25" i="2"/>
  <c r="CB25" i="2"/>
  <c r="CA25" i="2"/>
  <c r="BZ25" i="2"/>
  <c r="AW25" i="2"/>
  <c r="AT25" i="2"/>
  <c r="AV25" i="2" s="1"/>
  <c r="CF25" i="2"/>
  <c r="CD23" i="2"/>
  <c r="CC23" i="2"/>
  <c r="CB23" i="2"/>
  <c r="CA23" i="2"/>
  <c r="BZ23" i="2"/>
  <c r="AW23" i="2"/>
  <c r="AT23" i="2"/>
  <c r="AV23" i="2" s="1"/>
  <c r="CF23" i="2"/>
  <c r="CD22" i="2"/>
  <c r="CC22" i="2"/>
  <c r="CB22" i="2"/>
  <c r="CA22" i="2"/>
  <c r="BZ22" i="2"/>
  <c r="AW22" i="2"/>
  <c r="AT22" i="2"/>
  <c r="AV22" i="2" s="1"/>
  <c r="CF22" i="2"/>
  <c r="CD21" i="2"/>
  <c r="CC21" i="2"/>
  <c r="CB21" i="2"/>
  <c r="CA21" i="2"/>
  <c r="BZ21" i="2"/>
  <c r="BY21" i="2"/>
  <c r="AW21" i="2"/>
  <c r="AT21" i="2"/>
  <c r="AV21" i="2" s="1"/>
  <c r="CF21" i="2"/>
  <c r="CD20" i="2"/>
  <c r="CC20" i="2"/>
  <c r="CB20" i="2"/>
  <c r="CA20" i="2"/>
  <c r="BZ20" i="2"/>
  <c r="BY20" i="2"/>
  <c r="AW20" i="2"/>
  <c r="AT20" i="2"/>
  <c r="AV20" i="2" s="1"/>
  <c r="CF20" i="2"/>
  <c r="CD19" i="2"/>
  <c r="CC19" i="2"/>
  <c r="CB19" i="2"/>
  <c r="CA19" i="2"/>
  <c r="BZ19" i="2"/>
  <c r="BY19" i="2"/>
  <c r="AW19" i="2"/>
  <c r="AT19" i="2"/>
  <c r="AV19" i="2" s="1"/>
  <c r="CF19" i="2"/>
  <c r="CD18" i="2"/>
  <c r="CC18" i="2"/>
  <c r="CB18" i="2"/>
  <c r="CA18" i="2"/>
  <c r="BZ18" i="2"/>
  <c r="BY18" i="2"/>
  <c r="AW18" i="2"/>
  <c r="AT18" i="2"/>
  <c r="AV18" i="2" s="1"/>
  <c r="CF18" i="2"/>
  <c r="CD17" i="2"/>
  <c r="CC17" i="2"/>
  <c r="CB17" i="2"/>
  <c r="CA17" i="2"/>
  <c r="BZ17" i="2"/>
  <c r="BY17" i="2"/>
  <c r="AW17" i="2"/>
  <c r="AT17" i="2"/>
  <c r="AV17" i="2" s="1"/>
  <c r="CF17" i="2"/>
  <c r="CD16" i="2"/>
  <c r="CC16" i="2"/>
  <c r="CB16" i="2"/>
  <c r="CA16" i="2"/>
  <c r="BZ16" i="2"/>
  <c r="BY16" i="2"/>
  <c r="AW16" i="2"/>
  <c r="AT16" i="2"/>
  <c r="AV16" i="2" s="1"/>
  <c r="CF16" i="2"/>
  <c r="CF15" i="2"/>
  <c r="CD15" i="2"/>
  <c r="CC15" i="2"/>
  <c r="CB15" i="2"/>
  <c r="CA15" i="2"/>
  <c r="BZ15" i="2"/>
  <c r="BY15" i="2"/>
  <c r="BX15" i="2"/>
  <c r="AZ15" i="2"/>
  <c r="AM15" i="2"/>
  <c r="AU15" i="2"/>
  <c r="AV15" i="2" s="1"/>
  <c r="CJ14" i="2"/>
  <c r="CJ32" i="2" s="1"/>
  <c r="CH14" i="2"/>
  <c r="CH32" i="2" s="1"/>
  <c r="BD14" i="2"/>
  <c r="BD32" i="2" s="1"/>
  <c r="AS14" i="2"/>
  <c r="AS32" i="2" s="1"/>
  <c r="AR14" i="2"/>
  <c r="AR32" i="2" s="1"/>
  <c r="AQ14" i="2"/>
  <c r="AQ32" i="2" s="1"/>
  <c r="AP14" i="2"/>
  <c r="AP32" i="2" s="1"/>
  <c r="AO14" i="2"/>
  <c r="AO32" i="2" s="1"/>
  <c r="AL8" i="2"/>
  <c r="BH8" i="2" s="1"/>
  <c r="BX8" i="2" s="1"/>
  <c r="BH5" i="2"/>
  <c r="BX5" i="2" s="1"/>
  <c r="BH4" i="2"/>
  <c r="BX4" i="2" s="1"/>
  <c r="AZ19" i="2" l="1"/>
  <c r="BA19" i="2"/>
  <c r="BR31" i="2"/>
  <c r="BS31" i="2"/>
  <c r="AX17" i="2"/>
  <c r="BA17" i="2"/>
  <c r="BK21" i="2"/>
  <c r="BQ21" i="2" s="1"/>
  <c r="BA21" i="2"/>
  <c r="BK25" i="2"/>
  <c r="BN25" i="2" s="1"/>
  <c r="BA25" i="2"/>
  <c r="AX26" i="2"/>
  <c r="BA26" i="2"/>
  <c r="AZ27" i="2"/>
  <c r="BA27" i="2"/>
  <c r="BK28" i="2"/>
  <c r="BM28" i="2" s="1"/>
  <c r="BA28" i="2"/>
  <c r="BK29" i="2"/>
  <c r="BA29" i="2"/>
  <c r="AX30" i="2"/>
  <c r="BA30" i="2"/>
  <c r="AZ16" i="2"/>
  <c r="BA16" i="2"/>
  <c r="BK18" i="2"/>
  <c r="BL18" i="2" s="1"/>
  <c r="BA18" i="2"/>
  <c r="AZ20" i="2"/>
  <c r="BA20" i="2"/>
  <c r="BK22" i="2"/>
  <c r="BN22" i="2" s="1"/>
  <c r="BA22" i="2"/>
  <c r="BK23" i="2"/>
  <c r="BA23" i="2"/>
  <c r="CG28" i="2"/>
  <c r="CI14" i="2"/>
  <c r="CI32" i="2" s="1"/>
  <c r="BK26" i="2"/>
  <c r="AZ21" i="2"/>
  <c r="AY26" i="2"/>
  <c r="AY21" i="2"/>
  <c r="CE30" i="2"/>
  <c r="CE21" i="2"/>
  <c r="AX22" i="2"/>
  <c r="CE19" i="2"/>
  <c r="AY22" i="2"/>
  <c r="CE27" i="2"/>
  <c r="CE29" i="2"/>
  <c r="BL28" i="2"/>
  <c r="CE16" i="2"/>
  <c r="AX19" i="2"/>
  <c r="AX25" i="2"/>
  <c r="CD14" i="2"/>
  <c r="CD32" i="2" s="1"/>
  <c r="AY17" i="2"/>
  <c r="CG18" i="2"/>
  <c r="AY19" i="2"/>
  <c r="CE20" i="2"/>
  <c r="CG22" i="2"/>
  <c r="AY25" i="2"/>
  <c r="AZ17" i="2"/>
  <c r="BK19" i="2"/>
  <c r="AX21" i="2"/>
  <c r="CE22" i="2"/>
  <c r="AX23" i="2"/>
  <c r="AZ25" i="2"/>
  <c r="AX28" i="2"/>
  <c r="CC14" i="2"/>
  <c r="CC32" i="2" s="1"/>
  <c r="AY23" i="2"/>
  <c r="CE25" i="2"/>
  <c r="AY28" i="2"/>
  <c r="CG17" i="2"/>
  <c r="CG23" i="2"/>
  <c r="AZ26" i="2"/>
  <c r="CE26" i="2"/>
  <c r="AZ28" i="2"/>
  <c r="AY30" i="2"/>
  <c r="AT14" i="2"/>
  <c r="AT32" i="2" s="1"/>
  <c r="CE17" i="2"/>
  <c r="CG19" i="2"/>
  <c r="CE23" i="2"/>
  <c r="CE28" i="2"/>
  <c r="CG29" i="2"/>
  <c r="AZ30" i="2"/>
  <c r="CA14" i="2"/>
  <c r="CA32" i="2" s="1"/>
  <c r="CB14" i="2"/>
  <c r="CB32" i="2" s="1"/>
  <c r="CE18" i="2"/>
  <c r="CG30" i="2"/>
  <c r="CE15" i="2"/>
  <c r="BZ14" i="2"/>
  <c r="BZ32" i="2" s="1"/>
  <c r="BK15" i="2"/>
  <c r="CG15" i="2"/>
  <c r="BP18" i="2"/>
  <c r="BQ18" i="2"/>
  <c r="BM18" i="2"/>
  <c r="BN18" i="2"/>
  <c r="CG20" i="2"/>
  <c r="CG25" i="2"/>
  <c r="CG21" i="2"/>
  <c r="BM25" i="2"/>
  <c r="BL23" i="2"/>
  <c r="BQ23" i="2"/>
  <c r="BM23" i="2"/>
  <c r="BP23" i="2"/>
  <c r="BN23" i="2"/>
  <c r="BO23" i="2"/>
  <c r="CG27" i="2"/>
  <c r="BQ29" i="2"/>
  <c r="BP29" i="2"/>
  <c r="BL29" i="2"/>
  <c r="BO29" i="2"/>
  <c r="BN29" i="2"/>
  <c r="BM29" i="2"/>
  <c r="AX29" i="2"/>
  <c r="AX15" i="2"/>
  <c r="AY18" i="2"/>
  <c r="AZ22" i="2"/>
  <c r="AZ23" i="2"/>
  <c r="CF26" i="2"/>
  <c r="CG26" i="2" s="1"/>
  <c r="AY29" i="2"/>
  <c r="AX18" i="2"/>
  <c r="AW14" i="2"/>
  <c r="AW32" i="2" s="1"/>
  <c r="AY15" i="2"/>
  <c r="BK16" i="2"/>
  <c r="AZ18" i="2"/>
  <c r="BK20" i="2"/>
  <c r="BK27" i="2"/>
  <c r="AZ29" i="2"/>
  <c r="CG16" i="2"/>
  <c r="AX16" i="2"/>
  <c r="BK17" i="2"/>
  <c r="AX20" i="2"/>
  <c r="AX27" i="2"/>
  <c r="BK30" i="2"/>
  <c r="AY16" i="2"/>
  <c r="AY20" i="2"/>
  <c r="AY27" i="2"/>
  <c r="BO18" i="2" l="1"/>
  <c r="BL21" i="2"/>
  <c r="BO22" i="2"/>
  <c r="BL25" i="2"/>
  <c r="BN28" i="2"/>
  <c r="BP25" i="2"/>
  <c r="BP22" i="2"/>
  <c r="BO25" i="2"/>
  <c r="BQ22" i="2"/>
  <c r="BO28" i="2"/>
  <c r="BQ25" i="2"/>
  <c r="BL22" i="2"/>
  <c r="BT22" i="2" s="1"/>
  <c r="BP28" i="2"/>
  <c r="BP21" i="2"/>
  <c r="BM21" i="2"/>
  <c r="BM22" i="2"/>
  <c r="BQ28" i="2"/>
  <c r="BB15" i="2"/>
  <c r="CK15" i="2" s="1"/>
  <c r="BB21" i="2"/>
  <c r="CK21" i="2" s="1"/>
  <c r="CL21" i="2" s="1"/>
  <c r="CM21" i="2" s="1"/>
  <c r="CN21" i="2" s="1"/>
  <c r="BC21" i="2" s="1"/>
  <c r="BE21" i="2" s="1"/>
  <c r="BN21" i="2"/>
  <c r="BB27" i="2"/>
  <c r="CK27" i="2" s="1"/>
  <c r="CL27" i="2" s="1"/>
  <c r="CM27" i="2" s="1"/>
  <c r="CN27" i="2" s="1"/>
  <c r="BC27" i="2" s="1"/>
  <c r="BE27" i="2" s="1"/>
  <c r="BO21" i="2"/>
  <c r="BR20" i="2"/>
  <c r="BS20" i="2"/>
  <c r="BB22" i="2"/>
  <c r="CK22" i="2" s="1"/>
  <c r="CL22" i="2" s="1"/>
  <c r="CM22" i="2" s="1"/>
  <c r="CN22" i="2" s="1"/>
  <c r="BC22" i="2" s="1"/>
  <c r="BE22" i="2" s="1"/>
  <c r="BA14" i="2"/>
  <c r="BB16" i="2"/>
  <c r="CK16" i="2" s="1"/>
  <c r="CL16" i="2" s="1"/>
  <c r="CM16" i="2" s="1"/>
  <c r="CN16" i="2" s="1"/>
  <c r="BC16" i="2" s="1"/>
  <c r="BE16" i="2" s="1"/>
  <c r="BB29" i="2"/>
  <c r="CK29" i="2" s="1"/>
  <c r="CL29" i="2" s="1"/>
  <c r="CM29" i="2" s="1"/>
  <c r="CN29" i="2" s="1"/>
  <c r="BC29" i="2" s="1"/>
  <c r="BE29" i="2" s="1"/>
  <c r="BR15" i="2"/>
  <c r="BS15" i="2"/>
  <c r="BM19" i="2"/>
  <c r="BR19" i="2"/>
  <c r="BS19" i="2"/>
  <c r="BN26" i="2"/>
  <c r="BR26" i="2"/>
  <c r="BS26" i="2"/>
  <c r="BR22" i="2"/>
  <c r="BS22" i="2"/>
  <c r="BR28" i="2"/>
  <c r="BS28" i="2"/>
  <c r="BR25" i="2"/>
  <c r="BS25" i="2"/>
  <c r="BR27" i="2"/>
  <c r="BS27" i="2"/>
  <c r="BB19" i="2"/>
  <c r="CK19" i="2" s="1"/>
  <c r="CL19" i="2" s="1"/>
  <c r="CM19" i="2" s="1"/>
  <c r="CN19" i="2" s="1"/>
  <c r="BC19" i="2" s="1"/>
  <c r="BE19" i="2" s="1"/>
  <c r="BB28" i="2"/>
  <c r="CK28" i="2" s="1"/>
  <c r="CL28" i="2" s="1"/>
  <c r="CM28" i="2" s="1"/>
  <c r="CN28" i="2" s="1"/>
  <c r="BC28" i="2" s="1"/>
  <c r="BE28" i="2" s="1"/>
  <c r="BR17" i="2"/>
  <c r="BS17" i="2"/>
  <c r="BR16" i="2"/>
  <c r="BS16" i="2"/>
  <c r="BS30" i="2"/>
  <c r="BR30" i="2"/>
  <c r="BB30" i="2"/>
  <c r="CK30" i="2" s="1"/>
  <c r="CL30" i="2" s="1"/>
  <c r="CM30" i="2" s="1"/>
  <c r="CN30" i="2" s="1"/>
  <c r="BC30" i="2" s="1"/>
  <c r="BE30" i="2" s="1"/>
  <c r="BR21" i="2"/>
  <c r="BS21" i="2"/>
  <c r="BB23" i="2"/>
  <c r="CK23" i="2" s="1"/>
  <c r="CL23" i="2" s="1"/>
  <c r="CM23" i="2" s="1"/>
  <c r="CN23" i="2" s="1"/>
  <c r="BC23" i="2" s="1"/>
  <c r="BE23" i="2" s="1"/>
  <c r="BB20" i="2"/>
  <c r="CK20" i="2" s="1"/>
  <c r="CL20" i="2" s="1"/>
  <c r="CM20" i="2" s="1"/>
  <c r="CN20" i="2" s="1"/>
  <c r="BC20" i="2" s="1"/>
  <c r="BE20" i="2" s="1"/>
  <c r="BB18" i="2"/>
  <c r="CK18" i="2" s="1"/>
  <c r="CL18" i="2" s="1"/>
  <c r="CM18" i="2" s="1"/>
  <c r="CN18" i="2" s="1"/>
  <c r="BC18" i="2" s="1"/>
  <c r="BE18" i="2" s="1"/>
  <c r="BB25" i="2"/>
  <c r="CK25" i="2" s="1"/>
  <c r="CL25" i="2" s="1"/>
  <c r="CM25" i="2" s="1"/>
  <c r="CN25" i="2" s="1"/>
  <c r="BC25" i="2" s="1"/>
  <c r="BE25" i="2" s="1"/>
  <c r="BU28" i="2"/>
  <c r="BR23" i="2"/>
  <c r="BT23" i="2" s="1"/>
  <c r="BS23" i="2"/>
  <c r="BU23" i="2" s="1"/>
  <c r="BS18" i="2"/>
  <c r="BU18" i="2" s="1"/>
  <c r="BR18" i="2"/>
  <c r="BT18" i="2" s="1"/>
  <c r="BR29" i="2"/>
  <c r="BT29" i="2" s="1"/>
  <c r="BS29" i="2"/>
  <c r="BU29" i="2" s="1"/>
  <c r="BB26" i="2"/>
  <c r="CK26" i="2" s="1"/>
  <c r="CL26" i="2" s="1"/>
  <c r="CM26" i="2" s="1"/>
  <c r="CN26" i="2" s="1"/>
  <c r="BC26" i="2" s="1"/>
  <c r="BE26" i="2" s="1"/>
  <c r="BB17" i="2"/>
  <c r="CK17" i="2" s="1"/>
  <c r="CL17" i="2" s="1"/>
  <c r="CM17" i="2" s="1"/>
  <c r="CN17" i="2" s="1"/>
  <c r="BC17" i="2" s="1"/>
  <c r="BE17" i="2" s="1"/>
  <c r="BO19" i="2"/>
  <c r="BM26" i="2"/>
  <c r="BL19" i="2"/>
  <c r="BP26" i="2"/>
  <c r="BL26" i="2"/>
  <c r="BP19" i="2"/>
  <c r="BN19" i="2"/>
  <c r="AZ14" i="2"/>
  <c r="AZ32" i="2" s="1"/>
  <c r="BQ26" i="2"/>
  <c r="BO26" i="2"/>
  <c r="BQ19" i="2"/>
  <c r="CE14" i="2"/>
  <c r="CE32" i="2" s="1"/>
  <c r="CG14" i="2"/>
  <c r="CG32" i="2" s="1"/>
  <c r="BQ15" i="2"/>
  <c r="BP15" i="2"/>
  <c r="BL15" i="2"/>
  <c r="BO15" i="2"/>
  <c r="BK14" i="2"/>
  <c r="BK32" i="2" s="1"/>
  <c r="BN15" i="2"/>
  <c r="BM15" i="2"/>
  <c r="AX14" i="2"/>
  <c r="AX32" i="2" s="1"/>
  <c r="CF14" i="2"/>
  <c r="CF32" i="2" s="1"/>
  <c r="BO20" i="2"/>
  <c r="BL20" i="2"/>
  <c r="BP20" i="2"/>
  <c r="BN20" i="2"/>
  <c r="BM20" i="2"/>
  <c r="BQ20" i="2"/>
  <c r="BM17" i="2"/>
  <c r="BL17" i="2"/>
  <c r="BQ17" i="2"/>
  <c r="BO17" i="2"/>
  <c r="BN17" i="2"/>
  <c r="BP17" i="2"/>
  <c r="AU14" i="2"/>
  <c r="AU32" i="2" s="1"/>
  <c r="BO27" i="2"/>
  <c r="BN27" i="2"/>
  <c r="BM27" i="2"/>
  <c r="BL27" i="2"/>
  <c r="BP27" i="2"/>
  <c r="BQ27" i="2"/>
  <c r="AV14" i="2"/>
  <c r="AV32" i="2" s="1"/>
  <c r="BO16" i="2"/>
  <c r="BN16" i="2"/>
  <c r="BL16" i="2"/>
  <c r="BM16" i="2"/>
  <c r="BQ16" i="2"/>
  <c r="BP16" i="2"/>
  <c r="AY14" i="2"/>
  <c r="AY32" i="2" s="1"/>
  <c r="BM30" i="2"/>
  <c r="BL30" i="2"/>
  <c r="BN30" i="2"/>
  <c r="BQ30" i="2"/>
  <c r="BP30" i="2"/>
  <c r="BO30" i="2"/>
  <c r="BT26" i="2" l="1"/>
  <c r="BU25" i="2"/>
  <c r="BT25" i="2"/>
  <c r="BT28" i="2"/>
  <c r="BT21" i="2"/>
  <c r="BU22" i="2"/>
  <c r="BU27" i="2"/>
  <c r="BU21" i="2"/>
  <c r="BU19" i="2"/>
  <c r="BT19" i="2"/>
  <c r="BU20" i="2"/>
  <c r="BT30" i="2"/>
  <c r="BU16" i="2"/>
  <c r="BT17" i="2"/>
  <c r="BU15" i="2"/>
  <c r="BU30" i="2"/>
  <c r="BT16" i="2"/>
  <c r="BU17" i="2"/>
  <c r="BU26" i="2"/>
  <c r="BS14" i="2"/>
  <c r="BS32" i="2" s="1"/>
  <c r="BT27" i="2"/>
  <c r="BT20" i="2"/>
  <c r="BR14" i="2"/>
  <c r="BR32" i="2" s="1"/>
  <c r="BT15" i="2"/>
  <c r="BO14" i="2"/>
  <c r="BO32" i="2" s="1"/>
  <c r="BQ14" i="2"/>
  <c r="BQ32" i="2" s="1"/>
  <c r="BL14" i="2"/>
  <c r="BL32" i="2" s="1"/>
  <c r="BP14" i="2"/>
  <c r="BP32" i="2" s="1"/>
  <c r="BM14" i="2"/>
  <c r="BM32" i="2" s="1"/>
  <c r="BN14" i="2"/>
  <c r="BN32" i="2" s="1"/>
  <c r="BB14" i="2"/>
  <c r="BB32" i="2" s="1"/>
  <c r="CK14" i="2"/>
  <c r="CK32" i="2" s="1"/>
  <c r="CL15" i="2"/>
  <c r="CM15" i="2" s="1"/>
  <c r="BT14" i="2" l="1"/>
  <c r="BT32" i="2" s="1"/>
  <c r="BU14" i="2"/>
  <c r="BU32" i="2" s="1"/>
  <c r="BE34" i="2"/>
  <c r="CL14" i="2"/>
  <c r="CL32" i="2" s="1"/>
  <c r="CN15" i="2" l="1"/>
  <c r="CM14" i="2"/>
  <c r="CM32" i="2" s="1"/>
  <c r="BC15" i="2" l="1"/>
  <c r="CN14" i="2"/>
  <c r="CN32" i="2" s="1"/>
  <c r="BC14" i="2" l="1"/>
  <c r="BC32" i="2" s="1"/>
  <c r="BE15" i="2"/>
  <c r="BE14" i="2" s="1"/>
  <c r="BE32" i="2" s="1"/>
  <c r="BE35" i="2" s="1"/>
</calcChain>
</file>

<file path=xl/sharedStrings.xml><?xml version="1.0" encoding="utf-8"?>
<sst xmlns="http://schemas.openxmlformats.org/spreadsheetml/2006/main" count="668" uniqueCount="164">
  <si>
    <t>THÁNG 09 NĂM 2018</t>
  </si>
  <si>
    <t>Đơn vị tính: VNĐ</t>
  </si>
  <si>
    <t>Họ tên</t>
  </si>
  <si>
    <t>Mã nhân viên</t>
  </si>
  <si>
    <t>Phòng ban</t>
  </si>
  <si>
    <t>Mức lương</t>
  </si>
  <si>
    <t>Lương cơ bản</t>
  </si>
  <si>
    <t>PC lương</t>
  </si>
  <si>
    <t>PC đi lại</t>
  </si>
  <si>
    <t>PC nhà ở</t>
  </si>
  <si>
    <t>Tổng tiền lương</t>
  </si>
  <si>
    <t>PC cơm trưa</t>
  </si>
  <si>
    <t>PC điện thoại</t>
  </si>
  <si>
    <t>Tăng ca</t>
  </si>
  <si>
    <t>Công tác phí</t>
  </si>
  <si>
    <t>Tổng thu nhập</t>
  </si>
  <si>
    <t>Tạm ứng lương kỳ 1</t>
  </si>
  <si>
    <t>BYTN (1%)</t>
  </si>
  <si>
    <t>Nghỉ không lương</t>
  </si>
  <si>
    <t>Truy thu</t>
  </si>
  <si>
    <t>Thuế TNCN tạm tính</t>
  </si>
  <si>
    <t>Tổng</t>
  </si>
  <si>
    <t>Thực lĩnh</t>
  </si>
  <si>
    <t>PHÒNG TÀI CHÍNH - KẾ TOÁN</t>
  </si>
  <si>
    <t>Các khoản phải khấu trừ vào lương</t>
  </si>
  <si>
    <t>Tiền ăn giữa ca</t>
  </si>
  <si>
    <t>Hổ trợ xăng xe</t>
  </si>
  <si>
    <t>Hỗ trợ OSDC</t>
  </si>
  <si>
    <t>Hổ trợ điện thoại</t>
  </si>
  <si>
    <t>BHXH (8%)</t>
  </si>
  <si>
    <t>Lap trinh vien</t>
  </si>
  <si>
    <t>Số ngày làm việc trong tháng</t>
  </si>
  <si>
    <t>Số ngày công trong tháng</t>
  </si>
  <si>
    <t>BHYT (1,5%),</t>
  </si>
  <si>
    <t>PHIẾU LƯƠNG NHÂN VIÊN</t>
  </si>
  <si>
    <t>haiT@neal-technology.com</t>
  </si>
  <si>
    <t>NT001</t>
  </si>
  <si>
    <t>NT003</t>
  </si>
  <si>
    <t>NT004</t>
  </si>
  <si>
    <t>NT005</t>
  </si>
  <si>
    <t>NT006</t>
  </si>
  <si>
    <t>NT008</t>
  </si>
  <si>
    <t>NT009</t>
  </si>
  <si>
    <t>Trương Hải</t>
  </si>
  <si>
    <t>Nguyễn Thị Thanh Châu</t>
  </si>
  <si>
    <t>Office Manager</t>
  </si>
  <si>
    <t>Đinh Duy Tân</t>
  </si>
  <si>
    <t>Đào Duy Bình</t>
  </si>
  <si>
    <t>Nguyễn Hữu Trọng</t>
  </si>
  <si>
    <t>Trần Quốc Huy</t>
  </si>
  <si>
    <t>Đinh Xuân Phúc</t>
  </si>
  <si>
    <t>Technical Manager</t>
  </si>
  <si>
    <t>NT004_HDTV</t>
  </si>
  <si>
    <t>Đặng Thị Cúc</t>
  </si>
  <si>
    <t>Hồ Văn Minh</t>
  </si>
  <si>
    <t>Hồ Lê Na</t>
  </si>
  <si>
    <t>Trần Mạnh Hùng</t>
  </si>
  <si>
    <t>Nguyễn Khắc Nam</t>
  </si>
  <si>
    <t>NT016</t>
  </si>
  <si>
    <t>NT014</t>
  </si>
  <si>
    <t xml:space="preserve">Lê Quang Vinh </t>
  </si>
  <si>
    <t>NT017</t>
  </si>
  <si>
    <t xml:space="preserve">Hồ Nhân Trí </t>
  </si>
  <si>
    <t xml:space="preserve">Trần Đức Minh </t>
  </si>
  <si>
    <t xml:space="preserve">Đặng Công Ngữ </t>
  </si>
  <si>
    <t>NT018</t>
  </si>
  <si>
    <t>NT022</t>
  </si>
  <si>
    <t>NT023</t>
  </si>
  <si>
    <t>NT019</t>
  </si>
  <si>
    <t>NT020</t>
  </si>
  <si>
    <t>NT021</t>
  </si>
  <si>
    <t xml:space="preserve">Nguyễn Minh Khoa </t>
  </si>
  <si>
    <t>Công ty TNHH NEAL TECHNOLOGY</t>
  </si>
  <si>
    <t xml:space="preserve">Địa chỉ: Lô D,E Tầng 12 Tòa nhà công viên phần mềm, 02 Quang Trung, Đà Nẵng </t>
  </si>
  <si>
    <t>BẢNG CHẤM CÔNG</t>
  </si>
  <si>
    <t>BẢNG TÍNH - THANH TOÁN TIỀN LƯƠNG</t>
  </si>
  <si>
    <t>BẢNG TÍNH - TRÍCH NỘP BHXH, BHYT, BHTN</t>
  </si>
  <si>
    <t>BẢNG TÍNH THUẾ TNCN PHẢI NỘP</t>
  </si>
  <si>
    <t>Đơn vị tính: Việt Nam Đồng</t>
  </si>
  <si>
    <t>STT</t>
  </si>
  <si>
    <t>Họ và tên</t>
  </si>
  <si>
    <t>Chức 
vụ</t>
  </si>
  <si>
    <t>Lương
Cơ bản</t>
  </si>
  <si>
    <t>Phụ cấp</t>
  </si>
  <si>
    <t>Tổng
Thu Nhập</t>
  </si>
  <si>
    <t>Ngày
công</t>
  </si>
  <si>
    <t>Tổng Lương
Thực Tế</t>
  </si>
  <si>
    <t>Lương
đóng BH</t>
  </si>
  <si>
    <t>BHXH trừ vào lương nhân viên</t>
  </si>
  <si>
    <t>Thuế 
TNCN</t>
  </si>
  <si>
    <t>Tạm
ứng</t>
  </si>
  <si>
    <t>Thực 
lĩnh</t>
  </si>
  <si>
    <t>Ghi Chú</t>
  </si>
  <si>
    <t>Họ và Tên</t>
  </si>
  <si>
    <t>Chức vụ</t>
  </si>
  <si>
    <t>Mức lương
đóng BHXH</t>
  </si>
  <si>
    <t>BHYT (4,5%)</t>
  </si>
  <si>
    <t>BHTN (2%)</t>
  </si>
  <si>
    <t>BHXH (25,5%)</t>
  </si>
  <si>
    <t>Tổng Cộng</t>
  </si>
  <si>
    <t>Ghi chú</t>
  </si>
  <si>
    <t>Lương
CB</t>
  </si>
  <si>
    <t>Cộng</t>
  </si>
  <si>
    <t>Số ngày công</t>
  </si>
  <si>
    <t>Thu nhập 
chịu thuế</t>
  </si>
  <si>
    <t>Người 
phụ thuộc</t>
  </si>
  <si>
    <t>Giảm trừ NPT</t>
  </si>
  <si>
    <t>Giảm trừ 
bản thân</t>
  </si>
  <si>
    <t>Tổng 
giảm trừ</t>
  </si>
  <si>
    <t>Thu nhập 
tính thuế</t>
  </si>
  <si>
    <t>Thuế TNCN 
phải nộp</t>
  </si>
  <si>
    <t>Tên nhân viên</t>
  </si>
  <si>
    <t>Ngày công trong kỳ</t>
  </si>
  <si>
    <t>BHXH
(8%)</t>
  </si>
  <si>
    <t>BHYT
(1,5%)</t>
  </si>
  <si>
    <t>BHTN
(1%)</t>
  </si>
  <si>
    <t>DN</t>
  </si>
  <si>
    <t>Người lao 
động</t>
  </si>
  <si>
    <t>B</t>
  </si>
  <si>
    <t>A. Bộ phận quản lý</t>
  </si>
  <si>
    <t>A</t>
  </si>
  <si>
    <t xml:space="preserve">Bộ phận Quản lý </t>
  </si>
  <si>
    <t xml:space="preserve">Nguyễn Thị Thanh Châu </t>
  </si>
  <si>
    <t xml:space="preserve">Kế toán </t>
  </si>
  <si>
    <t>Tổng cộng</t>
  </si>
  <si>
    <t>X: Lương thời gian cả ngày</t>
  </si>
  <si>
    <t>X/2: Lương thời gian nữa ngày</t>
  </si>
  <si>
    <t>N: Nghỉ không lương</t>
  </si>
  <si>
    <t>Người lập biểu</t>
  </si>
  <si>
    <t>Kế toán trưởng</t>
  </si>
  <si>
    <t>Giám đốc</t>
  </si>
  <si>
    <t>L: Nghỉ lễ</t>
  </si>
  <si>
    <t>(Ký, họ tên)</t>
  </si>
  <si>
    <t>(Ký, họ tên, đóng dấu)</t>
  </si>
  <si>
    <t>Người chấm công</t>
  </si>
  <si>
    <t>Email</t>
  </si>
  <si>
    <t>chau@neal-technology.com</t>
  </si>
  <si>
    <t>tandd@neal-technology.com</t>
  </si>
  <si>
    <t>binhdd@neal-technology.com</t>
  </si>
  <si>
    <t>trongnh@neal-technology.com</t>
  </si>
  <si>
    <t>hait@neal-technology.com</t>
  </si>
  <si>
    <t>huytq@neal-technology.com</t>
  </si>
  <si>
    <t>phuc@neal-technology.com</t>
  </si>
  <si>
    <t>cucdang0304@gmail.com</t>
  </si>
  <si>
    <t>minhhv@neal-technology.com</t>
  </si>
  <si>
    <t>nahl@neal-technology.com</t>
  </si>
  <si>
    <t>hungtm@neal-technology.com</t>
  </si>
  <si>
    <t>namnk@neal-technology.com</t>
  </si>
  <si>
    <t>vinhlq@neal-technology.com</t>
  </si>
  <si>
    <t>trihn@neal-technology.com</t>
  </si>
  <si>
    <t>minhtd@neal-technology.com</t>
  </si>
  <si>
    <t>ngudc@neal-technology.com</t>
  </si>
  <si>
    <t>khoanm@neal-technology.com</t>
  </si>
  <si>
    <t>x</t>
  </si>
  <si>
    <t>Tháng 08 năm 2020</t>
  </si>
  <si>
    <t>KPCĐ
(1%)</t>
  </si>
  <si>
    <t>Lương cơ sở</t>
  </si>
  <si>
    <t>Cộng
11,5%</t>
  </si>
  <si>
    <t>BHBB
(11,5%)</t>
  </si>
  <si>
    <t>Ngày công thực tế</t>
  </si>
  <si>
    <t>Ngày công CĐ</t>
  </si>
  <si>
    <t>KPCĐ</t>
  </si>
  <si>
    <t>Đóng BHXH tháng 8: 31.680.000</t>
  </si>
  <si>
    <t>Kinh Phí CĐ ( 1%)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</si>
</sst>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_);_(@_)"/>
    <numFmt numFmtId="166" formatCode="_-* #,##0.00\ _€_-;\-* #,##0.00\ _€_-;_-* &quot;-&quot;??\ _€_-;_-@_-"/>
    <numFmt numFmtId="167" formatCode="00"/>
    <numFmt numFmtId="168" formatCode="0.0%"/>
    <numFmt numFmtId="169" formatCode="_-* #,##0\ _₫_-;\-* #,##0\ _₫_-;_-* &quot;-&quot;??\ _₫_-;_-@_-"/>
  </numFmts>
  <fonts count="52">
    <font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sz val="12"/>
      <color theme="1"/>
      <name val="Times New Roman"/>
      <family val="1"/>
    </font>
    <font>
      <sz val="11"/>
      <color theme="1"/>
      <name val="Arial"/>
      <family val="2"/>
    </font>
    <font>
      <sz val="11"/>
      <color theme="1"/>
      <name val="Times New Roman"/>
      <family val="1"/>
    </font>
    <font>
      <b/>
      <sz val="11"/>
      <color theme="1"/>
      <name val="Arial"/>
      <family val="2"/>
    </font>
    <font>
      <sz val="11.5"/>
      <color theme="1"/>
      <name val="Times New Roman"/>
      <family val="1"/>
    </font>
    <font>
      <b/>
      <sz val="13"/>
      <color theme="1"/>
      <name val="Arial"/>
      <family val="2"/>
    </font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Times New Roman"/>
      <family val="1"/>
    </font>
    <font>
      <sz val="12"/>
      <name val="Times New Roman"/>
      <family val="1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indexed="8"/>
      <name val="Times New Roman"/>
      <family val="1"/>
    </font>
    <font>
      <sz val="11"/>
      <color indexed="8"/>
      <name val="Calibri"/>
      <family val="2"/>
    </font>
    <font>
      <b/>
      <sz val="12"/>
      <color indexed="8"/>
      <name val="Times New Roman"/>
      <family val="1"/>
    </font>
    <font>
      <b/>
      <sz val="12"/>
      <color rgb="FFFF0000"/>
      <name val="Times New Roman"/>
      <family val="1"/>
    </font>
    <font>
      <b/>
      <sz val="16"/>
      <color rgb="FFFF0000"/>
      <name val="Times New Roman"/>
      <family val="1"/>
    </font>
    <font>
      <b/>
      <sz val="22"/>
      <color theme="0"/>
      <name val="Times New Roman"/>
      <family val="1"/>
    </font>
    <font>
      <sz val="13"/>
      <name val="Times New Roman"/>
      <family val="1"/>
    </font>
    <font>
      <b/>
      <sz val="16"/>
      <color indexed="10"/>
      <name val="Times New Roman"/>
      <family val="1"/>
    </font>
    <font>
      <sz val="9"/>
      <name val="Times New Roman"/>
      <family val="1"/>
    </font>
    <font>
      <i/>
      <sz val="13"/>
      <name val="Times New Roman"/>
      <family val="1"/>
    </font>
    <font>
      <i/>
      <u/>
      <sz val="13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b/>
      <sz val="10"/>
      <color indexed="8"/>
      <name val="Times New Roman"/>
      <family val="1"/>
    </font>
    <font>
      <sz val="10"/>
      <name val="Times New Roman"/>
      <family val="1"/>
    </font>
    <font>
      <b/>
      <sz val="10"/>
      <color rgb="FFFF0000"/>
      <name val="Times New Roman"/>
      <family val="1"/>
    </font>
    <font>
      <sz val="11"/>
      <color theme="1"/>
      <name val="Calibri"/>
      <family val="2"/>
      <charset val="163"/>
      <scheme val="minor"/>
    </font>
    <font>
      <sz val="11"/>
      <name val="Calibri"/>
      <family val="2"/>
      <scheme val="minor"/>
    </font>
    <font>
      <sz val="8"/>
      <name val="Times New Roman"/>
      <family val="1"/>
    </font>
    <font>
      <sz val="12"/>
      <color rgb="FF00B0F0"/>
      <name val="Times New Roman"/>
      <family val="1"/>
    </font>
    <font>
      <sz val="10"/>
      <color rgb="FF00B0F0"/>
      <name val="Times New Roman"/>
      <family val="1"/>
    </font>
    <font>
      <b/>
      <sz val="9"/>
      <color rgb="FFFF0000"/>
      <name val="Times New Roman"/>
      <family val="1"/>
    </font>
    <font>
      <i/>
      <sz val="11"/>
      <color theme="1"/>
      <name val="Calibri"/>
      <family val="2"/>
      <scheme val="minor"/>
    </font>
    <font>
      <i/>
      <sz val="12"/>
      <color indexed="8"/>
      <name val="Times New Roman"/>
      <family val="1"/>
    </font>
    <font>
      <sz val="11"/>
      <name val="Calibri"/>
      <family val="2"/>
      <charset val="163"/>
      <scheme val="minor"/>
    </font>
    <font>
      <sz val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3"/>
      <color indexed="8"/>
      <name val="Times New Roman"/>
      <family val="1"/>
    </font>
    <font>
      <b/>
      <sz val="13"/>
      <name val="Times New Roman"/>
      <family val="1"/>
    </font>
    <font>
      <i/>
      <sz val="12"/>
      <name val="Times New Roman"/>
      <family val="1"/>
    </font>
    <font>
      <b/>
      <sz val="11"/>
      <color rgb="FFFF0000"/>
      <name val="Calibri"/>
      <family val="2"/>
      <charset val="163"/>
      <scheme val="minor"/>
    </font>
    <font>
      <sz val="11"/>
      <color rgb="FFFF0000"/>
      <name val="Calibri"/>
      <family val="2"/>
      <charset val="163"/>
      <scheme val="minor"/>
    </font>
    <font>
      <sz val="9"/>
      <color rgb="FFFF0000"/>
      <name val="Calibri"/>
      <family val="2"/>
      <scheme val="minor"/>
    </font>
    <font>
      <sz val="10"/>
      <color rgb="FFFF0000"/>
      <name val="Times New Roman"/>
      <family val="1"/>
    </font>
    <font>
      <b/>
      <sz val="11"/>
      <name val="ＭＳ Ｐゴシック"/>
    </font>
  </fonts>
  <fills count="1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 style="dashed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</borders>
  <cellStyleXfs count="8">
    <xf numFmtId="0" fontId="0" fillId="0" borderId="0"/>
    <xf numFmtId="0" fontId="8" fillId="0" borderId="0"/>
    <xf numFmtId="43" fontId="8" fillId="0" borderId="0" applyFont="0" applyFill="0" applyBorder="0" applyAlignment="0" applyProtection="0"/>
    <xf numFmtId="0" fontId="11" fillId="0" borderId="0" applyNumberFormat="0" applyFill="0" applyBorder="0" applyAlignment="0" applyProtection="0"/>
    <xf numFmtId="9" fontId="12" fillId="0" borderId="0" applyFont="0" applyFill="0" applyBorder="0" applyAlignment="0" applyProtection="0"/>
    <xf numFmtId="166" fontId="18" fillId="0" borderId="0" applyFont="0" applyFill="0" applyBorder="0" applyAlignment="0" applyProtection="0"/>
    <xf numFmtId="0" fontId="33" fillId="0" borderId="0"/>
    <xf numFmtId="43" fontId="12" fillId="0" borderId="0" applyFont="0" applyFill="0" applyBorder="0" applyAlignment="0" applyProtection="0"/>
  </cellStyleXfs>
  <cellXfs count="294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right" vertical="center" wrapText="1"/>
    </xf>
    <xf numFmtId="0" fontId="3" fillId="0" borderId="2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4" fillId="0" borderId="5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2" fillId="0" borderId="3" xfId="0" applyFont="1" applyBorder="1" applyAlignment="1">
      <alignment horizontal="right" vertical="center" wrapText="1"/>
    </xf>
    <xf numFmtId="0" fontId="5" fillId="0" borderId="4" xfId="0" applyFont="1" applyBorder="1" applyAlignment="1">
      <alignment horizontal="center" vertical="center" wrapText="1"/>
    </xf>
    <xf numFmtId="0" fontId="4" fillId="0" borderId="2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3" fillId="0" borderId="4" xfId="0" applyFont="1" applyBorder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0" xfId="0" applyFont="1" applyAlignment="1">
      <alignment horizontal="left" vertical="center" indent="15"/>
    </xf>
    <xf numFmtId="3" fontId="2" fillId="0" borderId="3" xfId="0" applyNumberFormat="1" applyFont="1" applyBorder="1" applyAlignment="1">
      <alignment horizontal="right" vertical="center" wrapText="1"/>
    </xf>
    <xf numFmtId="3" fontId="7" fillId="0" borderId="3" xfId="0" applyNumberFormat="1" applyFont="1" applyBorder="1" applyAlignment="1">
      <alignment horizontal="right" vertical="center" wrapText="1"/>
    </xf>
    <xf numFmtId="0" fontId="8" fillId="0" borderId="0" xfId="1"/>
    <xf numFmtId="0" fontId="3" fillId="0" borderId="2" xfId="0" applyFont="1" applyBorder="1" applyAlignment="1">
      <alignment vertical="center"/>
    </xf>
    <xf numFmtId="0" fontId="3" fillId="0" borderId="6" xfId="0" applyFont="1" applyBorder="1" applyAlignment="1">
      <alignment vertical="center" wrapText="1"/>
    </xf>
    <xf numFmtId="3" fontId="5" fillId="0" borderId="3" xfId="0" applyNumberFormat="1" applyFont="1" applyBorder="1" applyAlignment="1">
      <alignment vertical="center" wrapText="1"/>
    </xf>
    <xf numFmtId="3" fontId="3" fillId="0" borderId="3" xfId="0" applyNumberFormat="1" applyFont="1" applyBorder="1" applyAlignment="1">
      <alignment vertical="center" wrapText="1"/>
    </xf>
    <xf numFmtId="3" fontId="2" fillId="0" borderId="6" xfId="0" applyNumberFormat="1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5" fillId="0" borderId="3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left" vertical="center" wrapText="1"/>
    </xf>
    <xf numFmtId="2" fontId="3" fillId="0" borderId="3" xfId="0" applyNumberFormat="1" applyFont="1" applyBorder="1" applyAlignment="1">
      <alignment horizontal="left" vertical="center" wrapText="1"/>
    </xf>
    <xf numFmtId="0" fontId="11" fillId="0" borderId="0" xfId="3"/>
    <xf numFmtId="0" fontId="17" fillId="0" borderId="0" xfId="0" applyFont="1" applyAlignment="1">
      <alignment vertical="center"/>
    </xf>
    <xf numFmtId="3" fontId="17" fillId="0" borderId="0" xfId="5" applyNumberFormat="1" applyFont="1" applyBorder="1" applyAlignment="1">
      <alignment horizontal="right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13" fillId="0" borderId="0" xfId="0" applyFont="1" applyAlignment="1">
      <alignment horizontal="center" vertical="center" wrapText="1"/>
    </xf>
    <xf numFmtId="0" fontId="13" fillId="0" borderId="0" xfId="0" applyFont="1" applyAlignment="1">
      <alignment horizontal="left" vertical="center" wrapText="1"/>
    </xf>
    <xf numFmtId="3" fontId="21" fillId="0" borderId="0" xfId="3" applyNumberFormat="1" applyFont="1" applyFill="1" applyBorder="1" applyAlignment="1">
      <alignment vertical="center"/>
    </xf>
    <xf numFmtId="3" fontId="21" fillId="0" borderId="0" xfId="5" applyNumberFormat="1" applyFont="1" applyAlignment="1">
      <alignment horizontal="right" vertical="center"/>
    </xf>
    <xf numFmtId="3" fontId="19" fillId="0" borderId="0" xfId="5" applyNumberFormat="1" applyFont="1" applyAlignment="1">
      <alignment horizontal="right" vertical="center"/>
    </xf>
    <xf numFmtId="3" fontId="17" fillId="0" borderId="0" xfId="5" applyNumberFormat="1" applyFont="1" applyAlignment="1">
      <alignment horizontal="right" vertical="center"/>
    </xf>
    <xf numFmtId="0" fontId="23" fillId="0" borderId="0" xfId="0" applyFont="1" applyAlignment="1">
      <alignment vertical="center"/>
    </xf>
    <xf numFmtId="167" fontId="23" fillId="0" borderId="0" xfId="0" applyNumberFormat="1" applyFont="1" applyAlignment="1">
      <alignment vertical="center"/>
    </xf>
    <xf numFmtId="0" fontId="25" fillId="0" borderId="0" xfId="0" applyFont="1" applyAlignment="1">
      <alignment horizontal="center" vertical="center"/>
    </xf>
    <xf numFmtId="3" fontId="23" fillId="0" borderId="0" xfId="5" applyNumberFormat="1" applyFont="1" applyFill="1" applyAlignment="1">
      <alignment horizontal="right" vertical="center"/>
    </xf>
    <xf numFmtId="3" fontId="23" fillId="0" borderId="0" xfId="5" applyNumberFormat="1" applyFont="1" applyFill="1" applyAlignment="1">
      <alignment horizontal="center" vertical="center"/>
    </xf>
    <xf numFmtId="3" fontId="23" fillId="0" borderId="0" xfId="5" applyNumberFormat="1" applyFont="1" applyAlignment="1">
      <alignment horizontal="right" vertical="center"/>
    </xf>
    <xf numFmtId="3" fontId="26" fillId="0" borderId="0" xfId="5" applyNumberFormat="1" applyFont="1" applyFill="1" applyBorder="1" applyAlignment="1">
      <alignment horizontal="right" vertical="center"/>
    </xf>
    <xf numFmtId="3" fontId="27" fillId="0" borderId="0" xfId="0" applyNumberFormat="1" applyFont="1" applyAlignment="1">
      <alignment horizontal="center" vertical="center"/>
    </xf>
    <xf numFmtId="0" fontId="31" fillId="0" borderId="0" xfId="1" applyFont="1" applyAlignment="1">
      <alignment horizontal="center" vertical="center"/>
    </xf>
    <xf numFmtId="3" fontId="28" fillId="3" borderId="29" xfId="5" applyNumberFormat="1" applyFont="1" applyFill="1" applyBorder="1" applyAlignment="1">
      <alignment horizontal="center" vertical="center" wrapText="1"/>
    </xf>
    <xf numFmtId="3" fontId="31" fillId="3" borderId="28" xfId="5" applyNumberFormat="1" applyFont="1" applyFill="1" applyBorder="1" applyAlignment="1">
      <alignment horizontal="center" vertical="center" wrapText="1"/>
    </xf>
    <xf numFmtId="3" fontId="28" fillId="3" borderId="30" xfId="5" applyNumberFormat="1" applyFont="1" applyFill="1" applyBorder="1" applyAlignment="1">
      <alignment horizontal="center" vertical="center" wrapText="1"/>
    </xf>
    <xf numFmtId="0" fontId="33" fillId="0" borderId="10" xfId="6" applyBorder="1" applyAlignment="1">
      <alignment horizontal="center" vertical="center"/>
    </xf>
    <xf numFmtId="0" fontId="33" fillId="4" borderId="10" xfId="6" applyFill="1" applyBorder="1" applyAlignment="1">
      <alignment horizontal="center" vertical="center"/>
    </xf>
    <xf numFmtId="0" fontId="16" fillId="0" borderId="10" xfId="6" applyFont="1" applyBorder="1" applyAlignment="1">
      <alignment horizontal="center" vertical="center" wrapText="1"/>
    </xf>
    <xf numFmtId="0" fontId="25" fillId="3" borderId="16" xfId="1" applyFont="1" applyFill="1" applyBorder="1" applyAlignment="1">
      <alignment horizontal="center" vertical="center"/>
    </xf>
    <xf numFmtId="3" fontId="31" fillId="3" borderId="16" xfId="5" applyNumberFormat="1" applyFont="1" applyFill="1" applyBorder="1" applyAlignment="1">
      <alignment horizontal="center" vertical="center" wrapText="1"/>
    </xf>
    <xf numFmtId="3" fontId="25" fillId="3" borderId="16" xfId="5" applyNumberFormat="1" applyFont="1" applyFill="1" applyBorder="1" applyAlignment="1">
      <alignment horizontal="center" vertical="center"/>
    </xf>
    <xf numFmtId="168" fontId="29" fillId="3" borderId="29" xfId="4" applyNumberFormat="1" applyFont="1" applyFill="1" applyBorder="1" applyAlignment="1">
      <alignment horizontal="center" vertical="center"/>
    </xf>
    <xf numFmtId="3" fontId="31" fillId="3" borderId="29" xfId="5" applyNumberFormat="1" applyFont="1" applyFill="1" applyBorder="1" applyAlignment="1">
      <alignment horizontal="center" vertical="center" wrapText="1"/>
    </xf>
    <xf numFmtId="3" fontId="32" fillId="3" borderId="29" xfId="5" applyNumberFormat="1" applyFont="1" applyFill="1" applyBorder="1" applyAlignment="1">
      <alignment horizontal="center" vertical="center" wrapText="1"/>
    </xf>
    <xf numFmtId="0" fontId="14" fillId="0" borderId="10" xfId="0" applyFont="1" applyBorder="1" applyAlignment="1">
      <alignment vertical="center"/>
    </xf>
    <xf numFmtId="0" fontId="14" fillId="0" borderId="0" xfId="0" applyFont="1" applyAlignment="1">
      <alignment vertical="center"/>
    </xf>
    <xf numFmtId="167" fontId="28" fillId="5" borderId="10" xfId="0" applyNumberFormat="1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left" vertical="center"/>
    </xf>
    <xf numFmtId="0" fontId="29" fillId="5" borderId="10" xfId="0" applyFont="1" applyFill="1" applyBorder="1" applyAlignment="1">
      <alignment horizontal="center" vertical="center"/>
    </xf>
    <xf numFmtId="3" fontId="28" fillId="5" borderId="10" xfId="0" applyNumberFormat="1" applyFont="1" applyFill="1" applyBorder="1" applyAlignment="1">
      <alignment horizontal="right" vertical="center"/>
    </xf>
    <xf numFmtId="0" fontId="28" fillId="5" borderId="36" xfId="0" applyFont="1" applyFill="1" applyBorder="1" applyAlignment="1">
      <alignment horizontal="left" vertical="center"/>
    </xf>
    <xf numFmtId="0" fontId="34" fillId="5" borderId="10" xfId="0" applyFont="1" applyFill="1" applyBorder="1" applyAlignment="1">
      <alignment horizontal="left" vertical="center"/>
    </xf>
    <xf numFmtId="3" fontId="32" fillId="5" borderId="10" xfId="0" applyNumberFormat="1" applyFont="1" applyFill="1" applyBorder="1" applyAlignment="1">
      <alignment horizontal="right" vertical="center"/>
    </xf>
    <xf numFmtId="169" fontId="34" fillId="5" borderId="10" xfId="2" applyNumberFormat="1" applyFont="1" applyFill="1" applyBorder="1"/>
    <xf numFmtId="3" fontId="31" fillId="6" borderId="37" xfId="1" applyNumberFormat="1" applyFont="1" applyFill="1" applyBorder="1" applyAlignment="1">
      <alignment horizontal="left" vertical="center"/>
    </xf>
    <xf numFmtId="3" fontId="31" fillId="6" borderId="28" xfId="1" applyNumberFormat="1" applyFont="1" applyFill="1" applyBorder="1" applyAlignment="1">
      <alignment horizontal="right" vertical="center"/>
    </xf>
    <xf numFmtId="0" fontId="25" fillId="0" borderId="29" xfId="0" applyFont="1" applyBorder="1" applyAlignment="1">
      <alignment horizontal="center" vertical="center"/>
    </xf>
    <xf numFmtId="167" fontId="31" fillId="0" borderId="38" xfId="0" applyNumberFormat="1" applyFont="1" applyBorder="1" applyAlignment="1">
      <alignment horizontal="center" vertical="center"/>
    </xf>
    <xf numFmtId="0" fontId="25" fillId="0" borderId="28" xfId="0" applyFont="1" applyBorder="1" applyAlignment="1">
      <alignment horizontal="left" vertical="center"/>
    </xf>
    <xf numFmtId="3" fontId="31" fillId="7" borderId="28" xfId="5" applyNumberFormat="1" applyFont="1" applyFill="1" applyBorder="1" applyAlignment="1">
      <alignment horizontal="right" vertical="center"/>
    </xf>
    <xf numFmtId="0" fontId="35" fillId="0" borderId="28" xfId="0" applyFont="1" applyBorder="1" applyAlignment="1">
      <alignment horizontal="right" vertical="center"/>
    </xf>
    <xf numFmtId="3" fontId="29" fillId="0" borderId="29" xfId="5" applyNumberFormat="1" applyFont="1" applyFill="1" applyBorder="1" applyAlignment="1">
      <alignment horizontal="right" vertical="center"/>
    </xf>
    <xf numFmtId="3" fontId="31" fillId="0" borderId="28" xfId="5" applyNumberFormat="1" applyFont="1" applyFill="1" applyBorder="1" applyAlignment="1">
      <alignment horizontal="right" vertical="center"/>
    </xf>
    <xf numFmtId="0" fontId="31" fillId="0" borderId="0" xfId="1" applyFont="1" applyAlignment="1">
      <alignment horizontal="right" vertical="center"/>
    </xf>
    <xf numFmtId="3" fontId="31" fillId="0" borderId="29" xfId="5" applyNumberFormat="1" applyFont="1" applyFill="1" applyBorder="1" applyAlignment="1">
      <alignment horizontal="center" vertical="center"/>
    </xf>
    <xf numFmtId="3" fontId="31" fillId="0" borderId="29" xfId="5" applyNumberFormat="1" applyFont="1" applyFill="1" applyBorder="1" applyAlignment="1">
      <alignment horizontal="right" vertical="center"/>
    </xf>
    <xf numFmtId="3" fontId="31" fillId="0" borderId="29" xfId="5" applyNumberFormat="1" applyFont="1" applyFill="1" applyBorder="1" applyAlignment="1">
      <alignment horizontal="left" vertical="center"/>
    </xf>
    <xf numFmtId="3" fontId="32" fillId="6" borderId="28" xfId="1" applyNumberFormat="1" applyFont="1" applyFill="1" applyBorder="1" applyAlignment="1">
      <alignment horizontal="right" vertical="center"/>
    </xf>
    <xf numFmtId="3" fontId="32" fillId="8" borderId="29" xfId="5" applyNumberFormat="1" applyFont="1" applyFill="1" applyBorder="1" applyAlignment="1">
      <alignment horizontal="right" vertical="center"/>
    </xf>
    <xf numFmtId="3" fontId="31" fillId="6" borderId="28" xfId="1" applyNumberFormat="1" applyFont="1" applyFill="1" applyBorder="1" applyAlignment="1">
      <alignment horizontal="left" vertical="center"/>
    </xf>
    <xf numFmtId="167" fontId="31" fillId="0" borderId="39" xfId="0" applyNumberFormat="1" applyFont="1" applyBorder="1" applyAlignment="1">
      <alignment horizontal="center" vertical="center"/>
    </xf>
    <xf numFmtId="3" fontId="31" fillId="7" borderId="29" xfId="5" applyNumberFormat="1" applyFont="1" applyFill="1" applyBorder="1" applyAlignment="1">
      <alignment horizontal="right" vertical="center"/>
    </xf>
    <xf numFmtId="3" fontId="28" fillId="0" borderId="29" xfId="5" applyNumberFormat="1" applyFont="1" applyFill="1" applyBorder="1" applyAlignment="1">
      <alignment horizontal="right" vertical="center"/>
    </xf>
    <xf numFmtId="0" fontId="36" fillId="0" borderId="0" xfId="0" applyFont="1" applyAlignment="1">
      <alignment vertical="center"/>
    </xf>
    <xf numFmtId="3" fontId="37" fillId="0" borderId="29" xfId="5" applyNumberFormat="1" applyFont="1" applyFill="1" applyBorder="1" applyAlignment="1">
      <alignment horizontal="right" vertical="center"/>
    </xf>
    <xf numFmtId="3" fontId="37" fillId="0" borderId="29" xfId="5" applyNumberFormat="1" applyFont="1" applyFill="1" applyBorder="1" applyAlignment="1">
      <alignment horizontal="left" vertical="center"/>
    </xf>
    <xf numFmtId="3" fontId="32" fillId="0" borderId="29" xfId="5" applyNumberFormat="1" applyFont="1" applyFill="1" applyBorder="1" applyAlignment="1">
      <alignment horizontal="right" vertical="center"/>
    </xf>
    <xf numFmtId="167" fontId="28" fillId="5" borderId="40" xfId="1" applyNumberFormat="1" applyFont="1" applyFill="1" applyBorder="1" applyAlignment="1">
      <alignment horizontal="center" vertical="center"/>
    </xf>
    <xf numFmtId="0" fontId="28" fillId="5" borderId="41" xfId="1" applyFont="1" applyFill="1" applyBorder="1" applyAlignment="1">
      <alignment horizontal="left" vertical="center"/>
    </xf>
    <xf numFmtId="0" fontId="29" fillId="5" borderId="41" xfId="1" applyFont="1" applyFill="1" applyBorder="1" applyAlignment="1">
      <alignment horizontal="center" vertical="center"/>
    </xf>
    <xf numFmtId="3" fontId="29" fillId="5" borderId="41" xfId="5" applyNumberFormat="1" applyFont="1" applyFill="1" applyBorder="1" applyAlignment="1">
      <alignment horizontal="right" vertical="center"/>
    </xf>
    <xf numFmtId="3" fontId="38" fillId="5" borderId="41" xfId="5" applyNumberFormat="1" applyFont="1" applyFill="1" applyBorder="1" applyAlignment="1">
      <alignment horizontal="right" vertical="center"/>
    </xf>
    <xf numFmtId="0" fontId="39" fillId="0" borderId="0" xfId="6" applyFont="1" applyAlignment="1">
      <alignment horizontal="left" vertical="center"/>
    </xf>
    <xf numFmtId="0" fontId="33" fillId="0" borderId="0" xfId="6"/>
    <xf numFmtId="0" fontId="33" fillId="0" borderId="0" xfId="6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28" fillId="0" borderId="0" xfId="1" applyFont="1" applyAlignment="1">
      <alignment horizontal="right" vertical="center"/>
    </xf>
    <xf numFmtId="0" fontId="14" fillId="0" borderId="0" xfId="1" applyFont="1" applyAlignment="1">
      <alignment vertical="center"/>
    </xf>
    <xf numFmtId="0" fontId="20" fillId="0" borderId="0" xfId="1" applyFont="1" applyAlignment="1">
      <alignment vertical="center"/>
    </xf>
    <xf numFmtId="0" fontId="41" fillId="0" borderId="0" xfId="0" applyFont="1" applyAlignment="1">
      <alignment horizontal="left" vertical="center"/>
    </xf>
    <xf numFmtId="169" fontId="42" fillId="0" borderId="0" xfId="2" applyNumberFormat="1" applyFont="1" applyBorder="1" applyAlignment="1">
      <alignment horizontal="right"/>
    </xf>
    <xf numFmtId="0" fontId="42" fillId="0" borderId="0" xfId="0" applyFont="1" applyAlignment="1">
      <alignment horizontal="right"/>
    </xf>
    <xf numFmtId="169" fontId="41" fillId="0" borderId="0" xfId="0" applyNumberFormat="1" applyFont="1"/>
    <xf numFmtId="0" fontId="20" fillId="0" borderId="0" xfId="1" applyFont="1"/>
    <xf numFmtId="169" fontId="41" fillId="0" borderId="0" xfId="2" applyNumberFormat="1" applyFont="1" applyBorder="1"/>
    <xf numFmtId="169" fontId="34" fillId="0" borderId="0" xfId="2" applyNumberFormat="1" applyFont="1" applyBorder="1"/>
    <xf numFmtId="169" fontId="34" fillId="0" borderId="0" xfId="0" applyNumberFormat="1" applyFont="1"/>
    <xf numFmtId="169" fontId="43" fillId="0" borderId="0" xfId="2" applyNumberFormat="1" applyFont="1" applyBorder="1"/>
    <xf numFmtId="0" fontId="23" fillId="0" borderId="0" xfId="1" applyFont="1" applyAlignment="1">
      <alignment vertical="center"/>
    </xf>
    <xf numFmtId="0" fontId="13" fillId="0" borderId="0" xfId="1" applyFont="1" applyAlignment="1">
      <alignment vertical="center"/>
    </xf>
    <xf numFmtId="0" fontId="13" fillId="0" borderId="0" xfId="1" applyFont="1" applyAlignment="1">
      <alignment horizontal="center" vertical="center"/>
    </xf>
    <xf numFmtId="3" fontId="13" fillId="0" borderId="0" xfId="5" applyNumberFormat="1" applyFont="1" applyFill="1" applyAlignment="1">
      <alignment horizontal="right" vertical="center"/>
    </xf>
    <xf numFmtId="3" fontId="46" fillId="0" borderId="0" xfId="1" applyNumberFormat="1" applyFont="1" applyAlignment="1">
      <alignment horizontal="center" vertical="center"/>
    </xf>
    <xf numFmtId="0" fontId="14" fillId="0" borderId="0" xfId="1" applyFont="1" applyAlignment="1">
      <alignment horizontal="center" vertical="center"/>
    </xf>
    <xf numFmtId="3" fontId="46" fillId="0" borderId="0" xfId="5" applyNumberFormat="1" applyFont="1" applyFill="1" applyAlignment="1">
      <alignment horizontal="right" vertical="center"/>
    </xf>
    <xf numFmtId="3" fontId="14" fillId="0" borderId="0" xfId="5" applyNumberFormat="1" applyFont="1" applyFill="1" applyAlignment="1">
      <alignment horizontal="right" vertical="center"/>
    </xf>
    <xf numFmtId="3" fontId="14" fillId="0" borderId="0" xfId="1" applyNumberFormat="1" applyFont="1" applyAlignment="1">
      <alignment horizontal="center" vertical="center"/>
    </xf>
    <xf numFmtId="169" fontId="47" fillId="0" borderId="0" xfId="2" applyNumberFormat="1" applyFont="1" applyBorder="1"/>
    <xf numFmtId="169" fontId="15" fillId="0" borderId="0" xfId="2" applyNumberFormat="1" applyFont="1" applyBorder="1"/>
    <xf numFmtId="169" fontId="49" fillId="0" borderId="0" xfId="2" applyNumberFormat="1" applyFont="1" applyBorder="1" applyAlignment="1">
      <alignment horizontal="right"/>
    </xf>
    <xf numFmtId="169" fontId="48" fillId="0" borderId="0" xfId="2" applyNumberFormat="1" applyFont="1" applyBorder="1"/>
    <xf numFmtId="0" fontId="0" fillId="0" borderId="44" xfId="0" applyBorder="1"/>
    <xf numFmtId="3" fontId="31" fillId="3" borderId="16" xfId="5" applyNumberFormat="1" applyFont="1" applyFill="1" applyBorder="1" applyAlignment="1">
      <alignment horizontal="center" vertical="center" wrapText="1"/>
    </xf>
    <xf numFmtId="3" fontId="8" fillId="0" borderId="0" xfId="1" applyNumberFormat="1"/>
    <xf numFmtId="3" fontId="19" fillId="0" borderId="0" xfId="5" applyNumberFormat="1" applyFont="1" applyAlignment="1">
      <alignment horizontal="center" vertical="center"/>
    </xf>
    <xf numFmtId="3" fontId="46" fillId="0" borderId="0" xfId="5" applyNumberFormat="1" applyFont="1" applyFill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3" fillId="0" borderId="0" xfId="6" applyAlignment="1">
      <alignment horizontal="center"/>
    </xf>
    <xf numFmtId="0" fontId="39" fillId="0" borderId="0" xfId="6" applyFont="1" applyAlignment="1">
      <alignment horizontal="center" vertical="center"/>
    </xf>
    <xf numFmtId="0" fontId="39" fillId="0" borderId="0" xfId="6" applyFont="1" applyAlignment="1">
      <alignment horizontal="center"/>
    </xf>
    <xf numFmtId="0" fontId="8" fillId="0" borderId="0" xfId="1" applyAlignment="1">
      <alignment horizontal="center"/>
    </xf>
    <xf numFmtId="164" fontId="8" fillId="0" borderId="0" xfId="1" applyNumberFormat="1" applyAlignment="1">
      <alignment horizontal="center"/>
    </xf>
    <xf numFmtId="3" fontId="29" fillId="5" borderId="16" xfId="5" applyNumberFormat="1" applyFont="1" applyFill="1" applyBorder="1" applyAlignment="1">
      <alignment horizontal="right" vertical="center"/>
    </xf>
    <xf numFmtId="3" fontId="17" fillId="0" borderId="45" xfId="5" applyNumberFormat="1" applyFont="1" applyBorder="1" applyAlignment="1">
      <alignment horizontal="right" vertical="center"/>
    </xf>
    <xf numFmtId="3" fontId="19" fillId="0" borderId="45" xfId="5" applyNumberFormat="1" applyFont="1" applyBorder="1" applyAlignment="1">
      <alignment horizontal="center" vertical="center"/>
    </xf>
    <xf numFmtId="3" fontId="19" fillId="0" borderId="45" xfId="5" applyNumberFormat="1" applyFont="1" applyBorder="1" applyAlignment="1">
      <alignment horizontal="right" vertical="center"/>
    </xf>
    <xf numFmtId="3" fontId="23" fillId="0" borderId="45" xfId="5" applyNumberFormat="1" applyFont="1" applyFill="1" applyBorder="1" applyAlignment="1">
      <alignment horizontal="right" vertical="center"/>
    </xf>
    <xf numFmtId="3" fontId="44" fillId="7" borderId="45" xfId="5" applyNumberFormat="1" applyFont="1" applyFill="1" applyBorder="1" applyAlignment="1">
      <alignment horizontal="right" vertical="center"/>
    </xf>
    <xf numFmtId="3" fontId="23" fillId="0" borderId="45" xfId="5" applyNumberFormat="1" applyFont="1" applyFill="1" applyBorder="1" applyAlignment="1">
      <alignment horizontal="center" vertical="center"/>
    </xf>
    <xf numFmtId="3" fontId="45" fillId="0" borderId="45" xfId="5" applyNumberFormat="1" applyFont="1" applyFill="1" applyBorder="1" applyAlignment="1">
      <alignment horizontal="right" vertical="center"/>
    </xf>
    <xf numFmtId="3" fontId="13" fillId="0" borderId="45" xfId="5" applyNumberFormat="1" applyFont="1" applyFill="1" applyBorder="1" applyAlignment="1">
      <alignment horizontal="right" vertical="center"/>
    </xf>
    <xf numFmtId="167" fontId="28" fillId="5" borderId="46" xfId="1" applyNumberFormat="1" applyFont="1" applyFill="1" applyBorder="1" applyAlignment="1">
      <alignment horizontal="center" vertical="center"/>
    </xf>
    <xf numFmtId="0" fontId="28" fillId="5" borderId="16" xfId="1" applyFont="1" applyFill="1" applyBorder="1" applyAlignment="1">
      <alignment horizontal="left" vertical="center"/>
    </xf>
    <xf numFmtId="0" fontId="29" fillId="5" borderId="16" xfId="1" applyFont="1" applyFill="1" applyBorder="1" applyAlignment="1">
      <alignment horizontal="center" vertical="center"/>
    </xf>
    <xf numFmtId="0" fontId="17" fillId="0" borderId="45" xfId="0" applyFont="1" applyBorder="1" applyAlignment="1">
      <alignment vertical="center"/>
    </xf>
    <xf numFmtId="0" fontId="17" fillId="0" borderId="45" xfId="0" applyFont="1" applyBorder="1" applyAlignment="1">
      <alignment horizontal="center" vertical="center"/>
    </xf>
    <xf numFmtId="0" fontId="40" fillId="0" borderId="45" xfId="0" applyFont="1" applyBorder="1" applyAlignment="1">
      <alignment horizontal="center" vertical="center"/>
    </xf>
    <xf numFmtId="167" fontId="23" fillId="0" borderId="45" xfId="1" applyNumberFormat="1" applyFont="1" applyBorder="1" applyAlignment="1">
      <alignment horizontal="center" vertical="center"/>
    </xf>
    <xf numFmtId="0" fontId="23" fillId="0" borderId="45" xfId="1" applyFont="1" applyBorder="1" applyAlignment="1">
      <alignment horizontal="left" vertical="center"/>
    </xf>
    <xf numFmtId="0" fontId="25" fillId="0" borderId="45" xfId="1" applyFont="1" applyBorder="1" applyAlignment="1">
      <alignment horizontal="center" vertical="center"/>
    </xf>
    <xf numFmtId="167" fontId="13" fillId="0" borderId="45" xfId="1" applyNumberFormat="1" applyFont="1" applyBorder="1" applyAlignment="1">
      <alignment horizontal="center" vertical="center"/>
    </xf>
    <xf numFmtId="0" fontId="13" fillId="0" borderId="45" xfId="1" applyFont="1" applyBorder="1" applyAlignment="1">
      <alignment vertical="center"/>
    </xf>
    <xf numFmtId="0" fontId="13" fillId="0" borderId="45" xfId="1" applyFont="1" applyBorder="1" applyAlignment="1">
      <alignment horizontal="center" vertical="center"/>
    </xf>
    <xf numFmtId="3" fontId="13" fillId="0" borderId="45" xfId="5" applyNumberFormat="1" applyFont="1" applyFill="1" applyBorder="1" applyAlignment="1">
      <alignment horizontal="center" vertical="center"/>
    </xf>
    <xf numFmtId="3" fontId="13" fillId="0" borderId="45" xfId="5" applyNumberFormat="1" applyFont="1" applyFill="1" applyBorder="1" applyAlignment="1">
      <alignment vertical="center"/>
    </xf>
    <xf numFmtId="3" fontId="19" fillId="0" borderId="45" xfId="5" applyNumberFormat="1" applyFont="1" applyBorder="1" applyAlignment="1">
      <alignment vertical="center"/>
    </xf>
    <xf numFmtId="3" fontId="29" fillId="3" borderId="29" xfId="5" applyNumberFormat="1" applyFont="1" applyFill="1" applyBorder="1" applyAlignment="1">
      <alignment horizontal="center" vertical="center" wrapText="1"/>
    </xf>
    <xf numFmtId="0" fontId="11" fillId="0" borderId="44" xfId="3" applyBorder="1"/>
    <xf numFmtId="0" fontId="17" fillId="0" borderId="47" xfId="0" applyFont="1" applyBorder="1" applyAlignment="1">
      <alignment vertical="center"/>
    </xf>
    <xf numFmtId="167" fontId="14" fillId="0" borderId="47" xfId="1" applyNumberFormat="1" applyFont="1" applyBorder="1" applyAlignment="1">
      <alignment horizontal="center" vertical="center"/>
    </xf>
    <xf numFmtId="0" fontId="14" fillId="0" borderId="47" xfId="1" applyFont="1" applyBorder="1" applyAlignment="1">
      <alignment horizontal="left" vertical="center"/>
    </xf>
    <xf numFmtId="0" fontId="14" fillId="0" borderId="47" xfId="1" applyFont="1" applyBorder="1" applyAlignment="1">
      <alignment horizontal="center" vertical="center"/>
    </xf>
    <xf numFmtId="3" fontId="46" fillId="0" borderId="47" xfId="5" applyNumberFormat="1" applyFont="1" applyFill="1" applyBorder="1" applyAlignment="1">
      <alignment horizontal="center" vertical="center"/>
    </xf>
    <xf numFmtId="3" fontId="46" fillId="0" borderId="47" xfId="5" applyNumberFormat="1" applyFont="1" applyFill="1" applyBorder="1" applyAlignment="1">
      <alignment horizontal="right" vertical="center"/>
    </xf>
    <xf numFmtId="3" fontId="14" fillId="0" borderId="47" xfId="5" applyNumberFormat="1" applyFont="1" applyFill="1" applyBorder="1" applyAlignment="1">
      <alignment horizontal="right" vertical="center"/>
    </xf>
    <xf numFmtId="3" fontId="46" fillId="0" borderId="47" xfId="5" applyNumberFormat="1" applyFont="1" applyFill="1" applyBorder="1" applyAlignment="1">
      <alignment vertical="center"/>
    </xf>
    <xf numFmtId="3" fontId="17" fillId="0" borderId="47" xfId="5" applyNumberFormat="1" applyFont="1" applyBorder="1" applyAlignment="1">
      <alignment horizontal="right" vertical="center"/>
    </xf>
    <xf numFmtId="0" fontId="17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0" fontId="40" fillId="0" borderId="0" xfId="0" applyFont="1" applyBorder="1" applyAlignment="1">
      <alignment horizontal="center" vertical="center"/>
    </xf>
    <xf numFmtId="3" fontId="19" fillId="0" borderId="0" xfId="5" applyNumberFormat="1" applyFont="1" applyBorder="1" applyAlignment="1">
      <alignment horizontal="center" vertical="center"/>
    </xf>
    <xf numFmtId="3" fontId="19" fillId="0" borderId="0" xfId="5" applyNumberFormat="1" applyFont="1" applyBorder="1" applyAlignment="1">
      <alignment horizontal="right" vertical="center"/>
    </xf>
    <xf numFmtId="3" fontId="14" fillId="0" borderId="0" xfId="5" applyNumberFormat="1" applyFont="1" applyFill="1" applyBorder="1" applyAlignment="1">
      <alignment horizontal="right" vertical="center"/>
    </xf>
    <xf numFmtId="3" fontId="13" fillId="0" borderId="0" xfId="5" applyNumberFormat="1" applyFont="1" applyFill="1" applyBorder="1" applyAlignment="1">
      <alignment horizontal="right" vertical="center"/>
    </xf>
    <xf numFmtId="0" fontId="20" fillId="0" borderId="0" xfId="0" applyFont="1" applyBorder="1" applyAlignment="1">
      <alignment vertical="center"/>
    </xf>
    <xf numFmtId="169" fontId="34" fillId="0" borderId="0" xfId="0" applyNumberFormat="1" applyFont="1" applyBorder="1"/>
    <xf numFmtId="3" fontId="19" fillId="0" borderId="0" xfId="5" applyNumberFormat="1" applyFont="1" applyBorder="1" applyAlignment="1">
      <alignment vertical="center"/>
    </xf>
    <xf numFmtId="3" fontId="20" fillId="0" borderId="0" xfId="5" applyNumberFormat="1" applyFont="1" applyBorder="1" applyAlignment="1">
      <alignment horizontal="right" vertical="center"/>
    </xf>
    <xf numFmtId="169" fontId="15" fillId="0" borderId="0" xfId="0" applyNumberFormat="1" applyFont="1" applyBorder="1"/>
    <xf numFmtId="3" fontId="46" fillId="0" borderId="0" xfId="5" applyNumberFormat="1" applyFont="1" applyFill="1" applyBorder="1" applyAlignment="1">
      <alignment vertical="center"/>
    </xf>
    <xf numFmtId="0" fontId="40" fillId="0" borderId="0" xfId="0" applyFont="1" applyBorder="1" applyAlignment="1">
      <alignment vertical="center"/>
    </xf>
    <xf numFmtId="0" fontId="41" fillId="0" borderId="0" xfId="0" applyFont="1" applyBorder="1" applyAlignment="1">
      <alignment horizontal="left" vertical="center"/>
    </xf>
    <xf numFmtId="0" fontId="42" fillId="0" borderId="0" xfId="0" applyFont="1" applyBorder="1" applyAlignment="1">
      <alignment horizontal="right"/>
    </xf>
    <xf numFmtId="169" fontId="41" fillId="0" borderId="0" xfId="0" applyNumberFormat="1" applyFont="1" applyBorder="1"/>
    <xf numFmtId="0" fontId="20" fillId="0" borderId="0" xfId="1" applyFont="1" applyBorder="1"/>
    <xf numFmtId="2" fontId="13" fillId="0" borderId="0" xfId="0" applyNumberFormat="1" applyFont="1" applyBorder="1" applyAlignment="1">
      <alignment horizontal="left" vertical="center" wrapText="1"/>
    </xf>
    <xf numFmtId="0" fontId="48" fillId="0" borderId="0" xfId="0" applyFont="1" applyBorder="1" applyAlignment="1">
      <alignment horizontal="left" vertical="center"/>
    </xf>
    <xf numFmtId="0" fontId="49" fillId="0" borderId="0" xfId="0" applyFont="1" applyBorder="1" applyAlignment="1">
      <alignment horizontal="right"/>
    </xf>
    <xf numFmtId="169" fontId="48" fillId="0" borderId="0" xfId="0" applyNumberFormat="1" applyFont="1" applyBorder="1"/>
    <xf numFmtId="0" fontId="14" fillId="0" borderId="0" xfId="1" applyFont="1" applyBorder="1"/>
    <xf numFmtId="0" fontId="14" fillId="0" borderId="0" xfId="1" applyFont="1" applyBorder="1" applyAlignment="1">
      <alignment horizontal="center"/>
    </xf>
    <xf numFmtId="165" fontId="13" fillId="0" borderId="0" xfId="1" applyNumberFormat="1" applyFont="1" applyBorder="1" applyAlignment="1">
      <alignment horizontal="center"/>
    </xf>
    <xf numFmtId="164" fontId="14" fillId="0" borderId="0" xfId="1" applyNumberFormat="1" applyFont="1" applyBorder="1" applyAlignment="1">
      <alignment horizontal="center"/>
    </xf>
    <xf numFmtId="0" fontId="8" fillId="0" borderId="0" xfId="1" applyBorder="1" applyAlignment="1">
      <alignment horizontal="center"/>
    </xf>
    <xf numFmtId="0" fontId="8" fillId="0" borderId="0" xfId="1" applyBorder="1"/>
    <xf numFmtId="3" fontId="8" fillId="0" borderId="0" xfId="1" applyNumberFormat="1" applyBorder="1"/>
    <xf numFmtId="164" fontId="8" fillId="0" borderId="0" xfId="1" applyNumberFormat="1" applyBorder="1" applyAlignment="1">
      <alignment horizontal="center"/>
    </xf>
    <xf numFmtId="3" fontId="35" fillId="6" borderId="28" xfId="1" applyNumberFormat="1" applyFont="1" applyFill="1" applyBorder="1" applyAlignment="1">
      <alignment horizontal="right" vertical="center"/>
    </xf>
    <xf numFmtId="3" fontId="17" fillId="0" borderId="0" xfId="0" applyNumberFormat="1" applyFont="1" applyAlignment="1">
      <alignment vertical="center"/>
    </xf>
    <xf numFmtId="3" fontId="31" fillId="0" borderId="0" xfId="1" applyNumberFormat="1" applyFont="1" applyAlignment="1">
      <alignment horizontal="right" vertical="center"/>
    </xf>
    <xf numFmtId="3" fontId="31" fillId="3" borderId="16" xfId="5" applyNumberFormat="1" applyFont="1" applyFill="1" applyBorder="1" applyAlignment="1">
      <alignment horizontal="center" vertical="center" wrapText="1"/>
    </xf>
    <xf numFmtId="3" fontId="50" fillId="0" borderId="28" xfId="5" applyNumberFormat="1" applyFont="1" applyFill="1" applyBorder="1" applyAlignment="1">
      <alignment horizontal="right" vertical="center"/>
    </xf>
    <xf numFmtId="3" fontId="50" fillId="3" borderId="30" xfId="5" applyNumberFormat="1" applyFont="1" applyFill="1" applyBorder="1" applyAlignment="1">
      <alignment horizontal="center" vertical="center" wrapText="1"/>
    </xf>
    <xf numFmtId="3" fontId="50" fillId="3" borderId="16" xfId="5" applyNumberFormat="1" applyFont="1" applyFill="1" applyBorder="1" applyAlignment="1">
      <alignment horizontal="center" vertical="center" wrapText="1"/>
    </xf>
    <xf numFmtId="3" fontId="50" fillId="0" borderId="29" xfId="5" applyNumberFormat="1" applyFont="1" applyFill="1" applyBorder="1" applyAlignment="1">
      <alignment horizontal="right" vertical="center"/>
    </xf>
    <xf numFmtId="0" fontId="51" fillId="9" borderId="0" xfId="1" applyFont="1" applyFill="1" applyBorder="1"/>
    <xf numFmtId="164" fontId="51" fillId="9" borderId="0" xfId="7" applyNumberFormat="1" applyFont="1" applyFill="1" applyBorder="1"/>
    <xf numFmtId="3" fontId="38" fillId="9" borderId="29" xfId="5" applyNumberFormat="1" applyFont="1" applyFill="1" applyBorder="1" applyAlignment="1">
      <alignment horizontal="center" vertical="center" wrapText="1"/>
    </xf>
    <xf numFmtId="168" fontId="38" fillId="9" borderId="29" xfId="4" applyNumberFormat="1" applyFont="1" applyFill="1" applyBorder="1" applyAlignment="1">
      <alignment horizontal="center" vertical="center"/>
    </xf>
    <xf numFmtId="3" fontId="32" fillId="9" borderId="10" xfId="0" applyNumberFormat="1" applyFont="1" applyFill="1" applyBorder="1" applyAlignment="1">
      <alignment horizontal="right" vertical="center"/>
    </xf>
    <xf numFmtId="3" fontId="50" fillId="9" borderId="29" xfId="5" applyNumberFormat="1" applyFont="1" applyFill="1" applyBorder="1" applyAlignment="1">
      <alignment horizontal="right" vertical="center"/>
    </xf>
    <xf numFmtId="3" fontId="29" fillId="9" borderId="41" xfId="5" applyNumberFormat="1" applyFont="1" applyFill="1" applyBorder="1" applyAlignment="1">
      <alignment horizontal="right" vertical="center"/>
    </xf>
    <xf numFmtId="0" fontId="3" fillId="0" borderId="4" xfId="0" applyFont="1" applyBorder="1" applyAlignment="1">
      <alignment horizontal="center" vertical="center" wrapText="1"/>
    </xf>
    <xf numFmtId="3" fontId="27" fillId="0" borderId="0" xfId="0" applyNumberFormat="1" applyFont="1" applyAlignment="1">
      <alignment horizontal="center" vertical="center"/>
    </xf>
    <xf numFmtId="2" fontId="13" fillId="0" borderId="0" xfId="0" applyNumberFormat="1" applyFont="1" applyBorder="1" applyAlignment="1">
      <alignment horizontal="left" vertical="center" wrapText="1"/>
    </xf>
    <xf numFmtId="3" fontId="13" fillId="0" borderId="0" xfId="5" applyNumberFormat="1" applyFont="1" applyFill="1" applyAlignment="1">
      <alignment horizontal="center" vertical="center"/>
    </xf>
    <xf numFmtId="3" fontId="46" fillId="0" borderId="0" xfId="5" applyNumberFormat="1" applyFont="1" applyFill="1" applyAlignment="1">
      <alignment horizontal="center" vertical="center"/>
    </xf>
    <xf numFmtId="0" fontId="28" fillId="5" borderId="42" xfId="1" applyFont="1" applyFill="1" applyBorder="1" applyAlignment="1">
      <alignment horizontal="center" vertical="center"/>
    </xf>
    <xf numFmtId="0" fontId="28" fillId="5" borderId="43" xfId="1" applyFont="1" applyFill="1" applyBorder="1" applyAlignment="1">
      <alignment horizontal="center" vertical="center"/>
    </xf>
    <xf numFmtId="3" fontId="28" fillId="3" borderId="16" xfId="5" applyNumberFormat="1" applyFont="1" applyFill="1" applyBorder="1" applyAlignment="1">
      <alignment horizontal="center" vertical="center" wrapText="1"/>
    </xf>
    <xf numFmtId="3" fontId="28" fillId="3" borderId="28" xfId="5" applyNumberFormat="1" applyFont="1" applyFill="1" applyBorder="1" applyAlignment="1">
      <alignment horizontal="center" vertical="center" wrapText="1"/>
    </xf>
    <xf numFmtId="3" fontId="32" fillId="3" borderId="16" xfId="5" applyNumberFormat="1" applyFont="1" applyFill="1" applyBorder="1" applyAlignment="1">
      <alignment horizontal="center" vertical="center" wrapText="1"/>
    </xf>
    <xf numFmtId="3" fontId="32" fillId="3" borderId="28" xfId="5" applyNumberFormat="1" applyFont="1" applyFill="1" applyBorder="1" applyAlignment="1">
      <alignment horizontal="center" vertical="center" wrapText="1"/>
    </xf>
    <xf numFmtId="0" fontId="17" fillId="0" borderId="2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6" fillId="0" borderId="22" xfId="6" applyFont="1" applyBorder="1" applyAlignment="1">
      <alignment horizontal="center" vertical="center"/>
    </xf>
    <xf numFmtId="0" fontId="16" fillId="0" borderId="33" xfId="6" applyFont="1" applyBorder="1" applyAlignment="1">
      <alignment horizontal="center" vertical="center"/>
    </xf>
    <xf numFmtId="0" fontId="16" fillId="0" borderId="21" xfId="6" applyFont="1" applyBorder="1" applyAlignment="1">
      <alignment horizontal="center" vertical="center"/>
    </xf>
    <xf numFmtId="0" fontId="16" fillId="0" borderId="32" xfId="6" applyFont="1" applyBorder="1" applyAlignment="1">
      <alignment horizontal="center" vertical="center"/>
    </xf>
    <xf numFmtId="0" fontId="16" fillId="0" borderId="23" xfId="6" applyFont="1" applyBorder="1" applyAlignment="1">
      <alignment horizontal="center" vertical="center"/>
    </xf>
    <xf numFmtId="0" fontId="16" fillId="0" borderId="24" xfId="6" applyFont="1" applyBorder="1" applyAlignment="1">
      <alignment horizontal="center" vertical="center"/>
    </xf>
    <xf numFmtId="0" fontId="16" fillId="0" borderId="25" xfId="6" applyFont="1" applyBorder="1" applyAlignment="1">
      <alignment horizontal="center" vertical="center"/>
    </xf>
    <xf numFmtId="0" fontId="31" fillId="0" borderId="0" xfId="1" applyFont="1" applyAlignment="1">
      <alignment horizontal="center" vertical="center"/>
    </xf>
    <xf numFmtId="0" fontId="13" fillId="5" borderId="24" xfId="0" applyFont="1" applyFill="1" applyBorder="1" applyAlignment="1">
      <alignment horizontal="left" vertical="center"/>
    </xf>
    <xf numFmtId="3" fontId="29" fillId="3" borderId="18" xfId="5" applyNumberFormat="1" applyFont="1" applyFill="1" applyBorder="1" applyAlignment="1">
      <alignment horizontal="center" vertical="center"/>
    </xf>
    <xf numFmtId="3" fontId="29" fillId="3" borderId="19" xfId="5" applyNumberFormat="1" applyFont="1" applyFill="1" applyBorder="1" applyAlignment="1">
      <alignment horizontal="center" vertical="center"/>
    </xf>
    <xf numFmtId="3" fontId="29" fillId="3" borderId="16" xfId="5" applyNumberFormat="1" applyFont="1" applyFill="1" applyBorder="1" applyAlignment="1">
      <alignment horizontal="center" vertical="center"/>
    </xf>
    <xf numFmtId="3" fontId="29" fillId="3" borderId="27" xfId="5" applyNumberFormat="1" applyFont="1" applyFill="1" applyBorder="1" applyAlignment="1">
      <alignment horizontal="center" vertical="center"/>
    </xf>
    <xf numFmtId="3" fontId="29" fillId="3" borderId="35" xfId="5" applyNumberFormat="1" applyFont="1" applyFill="1" applyBorder="1" applyAlignment="1">
      <alignment horizontal="center" vertical="center"/>
    </xf>
    <xf numFmtId="3" fontId="28" fillId="3" borderId="27" xfId="5" applyNumberFormat="1" applyFont="1" applyFill="1" applyBorder="1" applyAlignment="1">
      <alignment horizontal="center" vertical="center" wrapText="1"/>
    </xf>
    <xf numFmtId="3" fontId="28" fillId="3" borderId="35" xfId="5" applyNumberFormat="1" applyFont="1" applyFill="1" applyBorder="1" applyAlignment="1">
      <alignment horizontal="center" vertical="center" wrapText="1"/>
    </xf>
    <xf numFmtId="3" fontId="29" fillId="3" borderId="16" xfId="5" applyNumberFormat="1" applyFont="1" applyFill="1" applyBorder="1" applyAlignment="1">
      <alignment horizontal="center" vertical="center" wrapText="1"/>
    </xf>
    <xf numFmtId="3" fontId="29" fillId="3" borderId="27" xfId="5" applyNumberFormat="1" applyFont="1" applyFill="1" applyBorder="1" applyAlignment="1">
      <alignment horizontal="center" vertical="center" wrapText="1"/>
    </xf>
    <xf numFmtId="3" fontId="29" fillId="3" borderId="35" xfId="5" applyNumberFormat="1" applyFont="1" applyFill="1" applyBorder="1" applyAlignment="1">
      <alignment horizontal="center" vertical="center" wrapText="1"/>
    </xf>
    <xf numFmtId="3" fontId="38" fillId="9" borderId="18" xfId="5" applyNumberFormat="1" applyFont="1" applyFill="1" applyBorder="1" applyAlignment="1">
      <alignment horizontal="center" vertical="center"/>
    </xf>
    <xf numFmtId="3" fontId="38" fillId="9" borderId="19" xfId="5" applyNumberFormat="1" applyFont="1" applyFill="1" applyBorder="1" applyAlignment="1">
      <alignment horizontal="center" vertical="center"/>
    </xf>
    <xf numFmtId="3" fontId="28" fillId="3" borderId="18" xfId="5" applyNumberFormat="1" applyFont="1" applyFill="1" applyBorder="1" applyAlignment="1">
      <alignment horizontal="center" vertical="center" wrapText="1"/>
    </xf>
    <xf numFmtId="3" fontId="28" fillId="3" borderId="20" xfId="5" applyNumberFormat="1" applyFont="1" applyFill="1" applyBorder="1" applyAlignment="1">
      <alignment horizontal="center" vertical="center" wrapText="1"/>
    </xf>
    <xf numFmtId="3" fontId="28" fillId="3" borderId="19" xfId="5" applyNumberFormat="1" applyFont="1" applyFill="1" applyBorder="1" applyAlignment="1">
      <alignment horizontal="center" vertical="center" wrapText="1"/>
    </xf>
    <xf numFmtId="167" fontId="28" fillId="3" borderId="11" xfId="1" applyNumberFormat="1" applyFont="1" applyFill="1" applyBorder="1" applyAlignment="1">
      <alignment horizontal="center" vertical="center"/>
    </xf>
    <xf numFmtId="167" fontId="28" fillId="3" borderId="26" xfId="1" applyNumberFormat="1" applyFont="1" applyFill="1" applyBorder="1" applyAlignment="1">
      <alignment horizontal="center" vertical="center"/>
    </xf>
    <xf numFmtId="167" fontId="28" fillId="3" borderId="34" xfId="1" applyNumberFormat="1" applyFont="1" applyFill="1" applyBorder="1" applyAlignment="1">
      <alignment horizontal="center" vertical="center"/>
    </xf>
    <xf numFmtId="0" fontId="28" fillId="3" borderId="12" xfId="1" applyFont="1" applyFill="1" applyBorder="1" applyAlignment="1">
      <alignment horizontal="center" vertical="center"/>
    </xf>
    <xf numFmtId="0" fontId="28" fillId="3" borderId="27" xfId="1" applyFont="1" applyFill="1" applyBorder="1" applyAlignment="1">
      <alignment horizontal="center" vertical="center"/>
    </xf>
    <xf numFmtId="0" fontId="28" fillId="3" borderId="35" xfId="1" applyFont="1" applyFill="1" applyBorder="1" applyAlignment="1">
      <alignment horizontal="center" vertical="center"/>
    </xf>
    <xf numFmtId="0" fontId="29" fillId="3" borderId="12" xfId="1" applyFont="1" applyFill="1" applyBorder="1" applyAlignment="1">
      <alignment horizontal="center" vertical="center" wrapText="1"/>
    </xf>
    <xf numFmtId="0" fontId="29" fillId="3" borderId="28" xfId="1" applyFont="1" applyFill="1" applyBorder="1" applyAlignment="1">
      <alignment horizontal="center" vertical="center" wrapText="1"/>
    </xf>
    <xf numFmtId="3" fontId="28" fillId="3" borderId="12" xfId="5" applyNumberFormat="1" applyFont="1" applyFill="1" applyBorder="1" applyAlignment="1">
      <alignment horizontal="center" vertical="center" wrapText="1"/>
    </xf>
    <xf numFmtId="3" fontId="28" fillId="3" borderId="13" xfId="5" applyNumberFormat="1" applyFont="1" applyFill="1" applyBorder="1" applyAlignment="1">
      <alignment horizontal="center" vertical="center" wrapText="1"/>
    </xf>
    <xf numFmtId="3" fontId="28" fillId="3" borderId="14" xfId="5" applyNumberFormat="1" applyFont="1" applyFill="1" applyBorder="1" applyAlignment="1">
      <alignment horizontal="center" vertical="center" wrapText="1"/>
    </xf>
    <xf numFmtId="3" fontId="28" fillId="3" borderId="15" xfId="5" applyNumberFormat="1" applyFont="1" applyFill="1" applyBorder="1" applyAlignment="1">
      <alignment horizontal="center" vertical="center" wrapText="1"/>
    </xf>
    <xf numFmtId="3" fontId="30" fillId="3" borderId="12" xfId="5" applyNumberFormat="1" applyFont="1" applyFill="1" applyBorder="1" applyAlignment="1">
      <alignment horizontal="center" vertical="center" wrapText="1"/>
    </xf>
    <xf numFmtId="3" fontId="30" fillId="3" borderId="28" xfId="5" applyNumberFormat="1" applyFont="1" applyFill="1" applyBorder="1" applyAlignment="1">
      <alignment horizontal="center" vertical="center" wrapText="1"/>
    </xf>
    <xf numFmtId="3" fontId="31" fillId="3" borderId="16" xfId="5" applyNumberFormat="1" applyFont="1" applyFill="1" applyBorder="1" applyAlignment="1">
      <alignment horizontal="center" vertical="center" wrapText="1"/>
    </xf>
    <xf numFmtId="3" fontId="31" fillId="3" borderId="28" xfId="5" applyNumberFormat="1" applyFont="1" applyFill="1" applyBorder="1" applyAlignment="1">
      <alignment horizontal="center" vertical="center" wrapText="1"/>
    </xf>
    <xf numFmtId="3" fontId="31" fillId="3" borderId="17" xfId="1" applyNumberFormat="1" applyFont="1" applyFill="1" applyBorder="1" applyAlignment="1">
      <alignment horizontal="center" vertical="center" wrapText="1"/>
    </xf>
    <xf numFmtId="3" fontId="31" fillId="3" borderId="31" xfId="1" applyNumberFormat="1" applyFont="1" applyFill="1" applyBorder="1" applyAlignment="1">
      <alignment horizontal="center" vertical="center" wrapText="1"/>
    </xf>
    <xf numFmtId="164" fontId="13" fillId="0" borderId="0" xfId="1" applyNumberFormat="1" applyFont="1" applyBorder="1" applyAlignment="1">
      <alignment horizontal="center"/>
    </xf>
    <xf numFmtId="164" fontId="9" fillId="0" borderId="0" xfId="1" applyNumberFormat="1" applyFont="1" applyBorder="1" applyAlignment="1">
      <alignment horizontal="center"/>
    </xf>
    <xf numFmtId="164" fontId="9" fillId="0" borderId="0" xfId="1" applyNumberFormat="1" applyFont="1" applyAlignment="1">
      <alignment horizontal="center"/>
    </xf>
    <xf numFmtId="3" fontId="28" fillId="3" borderId="44" xfId="5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horizontal="left" vertical="center" wrapText="1"/>
    </xf>
    <xf numFmtId="167" fontId="22" fillId="2" borderId="0" xfId="0" applyNumberFormat="1" applyFont="1" applyFill="1" applyAlignment="1">
      <alignment horizontal="center" vertical="center"/>
    </xf>
    <xf numFmtId="3" fontId="24" fillId="0" borderId="0" xfId="0" applyNumberFormat="1" applyFont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</cellXfs>
  <cellStyles count="8">
    <cellStyle name="Comma" xfId="7" builtinId="3"/>
    <cellStyle name="Comma 2" xfId="2" xr:uid="{00000000-0005-0000-0000-000001000000}"/>
    <cellStyle name="Comma 2 4" xfId="5" xr:uid="{00000000-0005-0000-0000-000002000000}"/>
    <cellStyle name="Hyperlink" xfId="3" builtinId="8"/>
    <cellStyle name="Normal" xfId="0" builtinId="0"/>
    <cellStyle name="Normal 2" xfId="1" xr:uid="{00000000-0005-0000-0000-000005000000}"/>
    <cellStyle name="Normal 3" xfId="6" xr:uid="{00000000-0005-0000-0000-000006000000}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66675</xdr:rowOff>
        </xdr:from>
        <xdr:to>
          <xdr:col>2</xdr:col>
          <xdr:colOff>9525</xdr:colOff>
          <xdr:row>2</xdr:row>
          <xdr:rowOff>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9525</xdr:rowOff>
        </xdr:from>
        <xdr:to>
          <xdr:col>1</xdr:col>
          <xdr:colOff>952500</xdr:colOff>
          <xdr:row>2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SendMail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9525</xdr:rowOff>
        </xdr:from>
        <xdr:to>
          <xdr:col>1</xdr:col>
          <xdr:colOff>952500</xdr:colOff>
          <xdr:row>2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FAE13DEF-198A-43E1-90C4-DB8624A045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phuc@neal-technology.com" TargetMode="External"/><Relationship Id="rId13" Type="http://schemas.openxmlformats.org/officeDocument/2006/relationships/hyperlink" Target="mailto:namnk@neal-technology.com" TargetMode="External"/><Relationship Id="rId18" Type="http://schemas.openxmlformats.org/officeDocument/2006/relationships/printerSettings" Target="../printerSettings/printerSettings1.bin"/><Relationship Id="rId3" Type="http://schemas.openxmlformats.org/officeDocument/2006/relationships/hyperlink" Target="mailto:binhdd@neal-technology.com" TargetMode="External"/><Relationship Id="rId21" Type="http://schemas.openxmlformats.org/officeDocument/2006/relationships/ctrlProp" Target="../ctrlProps/ctrlProp1.xml"/><Relationship Id="rId7" Type="http://schemas.openxmlformats.org/officeDocument/2006/relationships/hyperlink" Target="mailto:vinhlq@neal-technology.com" TargetMode="External"/><Relationship Id="rId12" Type="http://schemas.openxmlformats.org/officeDocument/2006/relationships/hyperlink" Target="mailto:hungtm@neal-technology.com" TargetMode="External"/><Relationship Id="rId17" Type="http://schemas.openxmlformats.org/officeDocument/2006/relationships/hyperlink" Target="mailto:trihn@neal-technology.com" TargetMode="External"/><Relationship Id="rId2" Type="http://schemas.openxmlformats.org/officeDocument/2006/relationships/hyperlink" Target="mailto:tandd@neal-technology.com" TargetMode="External"/><Relationship Id="rId16" Type="http://schemas.openxmlformats.org/officeDocument/2006/relationships/hyperlink" Target="mailto:ngudc@neal-technology.com" TargetMode="External"/><Relationship Id="rId20" Type="http://schemas.openxmlformats.org/officeDocument/2006/relationships/vmlDrawing" Target="../drawings/vmlDrawing1.vml"/><Relationship Id="rId1" Type="http://schemas.openxmlformats.org/officeDocument/2006/relationships/hyperlink" Target="mailto:chau@neal-technology.com" TargetMode="External"/><Relationship Id="rId6" Type="http://schemas.openxmlformats.org/officeDocument/2006/relationships/hyperlink" Target="mailto:minhhv@neal-technology.com" TargetMode="External"/><Relationship Id="rId11" Type="http://schemas.openxmlformats.org/officeDocument/2006/relationships/hyperlink" Target="mailto:nahl@neal-technology.com" TargetMode="External"/><Relationship Id="rId5" Type="http://schemas.openxmlformats.org/officeDocument/2006/relationships/hyperlink" Target="mailto:huytq@neal-technology.com" TargetMode="External"/><Relationship Id="rId15" Type="http://schemas.openxmlformats.org/officeDocument/2006/relationships/hyperlink" Target="mailto:minhtd@neal-technology.com" TargetMode="External"/><Relationship Id="rId10" Type="http://schemas.openxmlformats.org/officeDocument/2006/relationships/hyperlink" Target="mailto:khoanm@neal-technology.com" TargetMode="External"/><Relationship Id="rId19" Type="http://schemas.openxmlformats.org/officeDocument/2006/relationships/drawing" Target="../drawings/drawing1.xml"/><Relationship Id="rId4" Type="http://schemas.openxmlformats.org/officeDocument/2006/relationships/hyperlink" Target="mailto:hait@neal-technology.com" TargetMode="External"/><Relationship Id="rId9" Type="http://schemas.openxmlformats.org/officeDocument/2006/relationships/hyperlink" Target="mailto:trongnh@neal-technology.com" TargetMode="External"/><Relationship Id="rId14" Type="http://schemas.openxmlformats.org/officeDocument/2006/relationships/hyperlink" Target="mailto:cucdang0304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haiT@neal-technology.com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haiT@neal-technology.com" TargetMode="Externa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4:CQ43"/>
  <sheetViews>
    <sheetView zoomScale="90" zoomScaleNormal="90" zoomScalePageLayoutView="40" workbookViewId="0">
      <selection activeCell="B24" sqref="B24"/>
    </sheetView>
  </sheetViews>
  <sheetFormatPr defaultColWidth="9.140625" defaultRowHeight="13.5"/>
  <cols>
    <col min="1" max="1" width="4" style="24" customWidth="1"/>
    <col min="2" max="2" width="15.5703125" style="24" customWidth="1"/>
    <col min="3" max="3" width="19.42578125" style="24" customWidth="1"/>
    <col min="4" max="34" width="4" style="143" customWidth="1"/>
    <col min="35" max="35" width="7" style="24" customWidth="1"/>
    <col min="36" max="36" width="6.7109375" style="24" customWidth="1"/>
    <col min="37" max="37" width="9.140625" style="24"/>
    <col min="38" max="38" width="6" style="24" bestFit="1" customWidth="1"/>
    <col min="39" max="39" width="18.5703125" style="24" bestFit="1" customWidth="1"/>
    <col min="40" max="40" width="15" style="24" bestFit="1" customWidth="1"/>
    <col min="41" max="41" width="13.7109375" style="24" customWidth="1"/>
    <col min="42" max="42" width="15.7109375" style="24" customWidth="1"/>
    <col min="43" max="43" width="9.140625" style="24"/>
    <col min="44" max="44" width="12.42578125" style="24" bestFit="1" customWidth="1"/>
    <col min="45" max="45" width="9.140625" style="24"/>
    <col min="46" max="46" width="12" style="24" bestFit="1" customWidth="1"/>
    <col min="47" max="47" width="6.85546875" style="24" customWidth="1"/>
    <col min="48" max="48" width="12" style="135" customWidth="1"/>
    <col min="49" max="49" width="11.5703125" style="24" customWidth="1"/>
    <col min="50" max="53" width="9.140625" style="24"/>
    <col min="54" max="54" width="11.42578125" style="24" customWidth="1"/>
    <col min="55" max="55" width="11.140625" style="24" customWidth="1"/>
    <col min="56" max="56" width="8.140625" style="24" customWidth="1"/>
    <col min="57" max="57" width="12.28515625" style="24" customWidth="1"/>
    <col min="58" max="58" width="12.5703125" style="24" customWidth="1"/>
    <col min="59" max="59" width="9.140625" style="24"/>
    <col min="60" max="60" width="6.28515625" style="24" customWidth="1"/>
    <col min="61" max="61" width="19.7109375" style="24" customWidth="1"/>
    <col min="62" max="62" width="15" style="24" bestFit="1" customWidth="1"/>
    <col min="63" max="63" width="11.85546875" style="24" customWidth="1"/>
    <col min="64" max="67" width="9.140625" style="24"/>
    <col min="68" max="68" width="11.140625" style="24" customWidth="1"/>
    <col min="69" max="71" width="9.140625" style="24"/>
    <col min="72" max="72" width="11.28515625" style="24" customWidth="1"/>
    <col min="73" max="73" width="12" style="24" customWidth="1"/>
    <col min="74" max="74" width="18" style="24" customWidth="1"/>
    <col min="75" max="75" width="9.140625" style="24"/>
    <col min="76" max="76" width="22.42578125" style="24" customWidth="1"/>
    <col min="77" max="77" width="15" style="24" bestFit="1" customWidth="1"/>
    <col min="78" max="78" width="11.140625" style="24" customWidth="1"/>
    <col min="79" max="79" width="10.85546875" style="24" customWidth="1"/>
    <col min="80" max="80" width="9.140625" style="24"/>
    <col min="81" max="81" width="12.42578125" style="24" customWidth="1"/>
    <col min="82" max="82" width="9.140625" style="24"/>
    <col min="83" max="83" width="12.42578125" style="24" customWidth="1"/>
    <col min="84" max="84" width="6.5703125" style="24" customWidth="1"/>
    <col min="85" max="85" width="10.85546875" style="24" customWidth="1"/>
    <col min="86" max="86" width="8.140625" style="24" customWidth="1"/>
    <col min="87" max="87" width="11.140625" style="24" customWidth="1"/>
    <col min="88" max="88" width="11.7109375" style="24" customWidth="1"/>
    <col min="89" max="89" width="9.85546875" style="24" bestFit="1" customWidth="1"/>
    <col min="90" max="90" width="12.7109375" style="24" customWidth="1"/>
    <col min="91" max="91" width="10.5703125" style="24" customWidth="1"/>
    <col min="92" max="92" width="11.7109375" style="24" customWidth="1"/>
    <col min="93" max="93" width="9.140625" style="24"/>
    <col min="94" max="94" width="6.28515625" style="24" customWidth="1"/>
    <col min="95" max="95" width="30.85546875" style="24" customWidth="1"/>
    <col min="96" max="16384" width="9.140625" style="24"/>
  </cols>
  <sheetData>
    <row r="4" spans="1:95" s="35" customFormat="1" ht="15.75" customHeight="1">
      <c r="B4" s="284" t="s">
        <v>72</v>
      </c>
      <c r="C4" s="284"/>
      <c r="D4" s="284"/>
      <c r="E4" s="284"/>
      <c r="F4" s="284"/>
      <c r="G4" s="284"/>
      <c r="H4" s="284"/>
      <c r="I4" s="284"/>
      <c r="J4" s="284"/>
      <c r="K4" s="284"/>
      <c r="L4" s="284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L4" s="284" t="s">
        <v>72</v>
      </c>
      <c r="AM4" s="284"/>
      <c r="AN4" s="284"/>
      <c r="AO4" s="284"/>
      <c r="AP4" s="284"/>
      <c r="AQ4" s="284"/>
      <c r="AR4" s="284"/>
      <c r="AS4" s="284"/>
      <c r="AT4" s="284"/>
      <c r="AU4" s="284"/>
      <c r="AV4" s="284"/>
      <c r="BE4" s="36"/>
      <c r="BH4" s="37" t="str">
        <f>AL4</f>
        <v>Công ty TNHH NEAL TECHNOLOGY</v>
      </c>
      <c r="BX4" s="37" t="str">
        <f>BH4</f>
        <v>Công ty TNHH NEAL TECHNOLOGY</v>
      </c>
      <c r="CH4" s="38"/>
      <c r="CN4" s="38"/>
    </row>
    <row r="5" spans="1:95" s="35" customFormat="1" ht="14.25" customHeight="1">
      <c r="B5" s="284" t="s">
        <v>73</v>
      </c>
      <c r="C5" s="284"/>
      <c r="D5" s="284"/>
      <c r="E5" s="284"/>
      <c r="F5" s="284"/>
      <c r="G5" s="284"/>
      <c r="H5" s="284"/>
      <c r="I5" s="284"/>
      <c r="J5" s="284"/>
      <c r="K5" s="284"/>
      <c r="L5" s="284"/>
      <c r="M5" s="284"/>
      <c r="N5" s="284"/>
      <c r="O5" s="284"/>
      <c r="P5" s="284"/>
      <c r="Q5" s="284"/>
      <c r="R5" s="284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L5" s="284" t="s">
        <v>73</v>
      </c>
      <c r="AM5" s="284"/>
      <c r="AN5" s="284"/>
      <c r="AO5" s="284"/>
      <c r="AP5" s="284"/>
      <c r="AQ5" s="284"/>
      <c r="AR5" s="284"/>
      <c r="AS5" s="284"/>
      <c r="AT5" s="284"/>
      <c r="AU5" s="284"/>
      <c r="AV5" s="284"/>
      <c r="AW5" s="284"/>
      <c r="AX5" s="284"/>
      <c r="AY5" s="284"/>
      <c r="AZ5" s="284"/>
      <c r="BA5" s="284"/>
      <c r="BB5" s="284"/>
      <c r="BC5" s="284"/>
      <c r="BE5" s="36"/>
      <c r="BH5" s="37" t="str">
        <f>AL5</f>
        <v xml:space="preserve">Địa chỉ: Lô D,E Tầng 12 Tòa nhà công viên phần mềm, 02 Quang Trung, Đà Nẵng </v>
      </c>
      <c r="BX5" s="37" t="str">
        <f>BH5</f>
        <v xml:space="preserve">Địa chỉ: Lô D,E Tầng 12 Tòa nhà công viên phần mềm, 02 Quang Trung, Đà Nẵng </v>
      </c>
      <c r="CH5" s="38"/>
      <c r="CN5" s="38"/>
    </row>
    <row r="6" spans="1:95" s="35" customFormat="1" ht="24" customHeight="1"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/>
      <c r="X6" s="107"/>
      <c r="Y6" s="107"/>
      <c r="Z6" s="107"/>
      <c r="AA6" s="107"/>
      <c r="AB6" s="107"/>
      <c r="AC6" s="107"/>
      <c r="AD6" s="107"/>
      <c r="AE6" s="107"/>
      <c r="AF6" s="107"/>
      <c r="AG6" s="107"/>
      <c r="AH6" s="107"/>
      <c r="AL6" s="40"/>
      <c r="AM6" s="40"/>
      <c r="AN6" s="40"/>
      <c r="AO6" s="40"/>
      <c r="AP6" s="40"/>
      <c r="AQ6" s="40"/>
      <c r="AR6" s="36"/>
      <c r="AS6" s="36"/>
      <c r="AT6" s="41"/>
      <c r="AU6" s="41"/>
      <c r="AV6" s="41"/>
      <c r="AW6" s="42"/>
      <c r="AX6" s="41"/>
      <c r="AY6" s="43"/>
      <c r="AZ6" s="44"/>
      <c r="BA6" s="44"/>
      <c r="BB6" s="44"/>
      <c r="BE6" s="36"/>
      <c r="CH6" s="38"/>
      <c r="CN6" s="38"/>
    </row>
    <row r="7" spans="1:95" s="35" customFormat="1" ht="32.25" customHeight="1">
      <c r="B7" s="285" t="s">
        <v>74</v>
      </c>
      <c r="C7" s="285"/>
      <c r="D7" s="285"/>
      <c r="E7" s="285"/>
      <c r="F7" s="285"/>
      <c r="G7" s="285"/>
      <c r="H7" s="285"/>
      <c r="I7" s="285"/>
      <c r="J7" s="285"/>
      <c r="K7" s="285"/>
      <c r="L7" s="285"/>
      <c r="M7" s="285"/>
      <c r="N7" s="285"/>
      <c r="O7" s="285"/>
      <c r="P7" s="285"/>
      <c r="Q7" s="285"/>
      <c r="R7" s="285"/>
      <c r="S7" s="285"/>
      <c r="T7" s="285"/>
      <c r="U7" s="285"/>
      <c r="V7" s="285"/>
      <c r="W7" s="285"/>
      <c r="X7" s="285"/>
      <c r="Y7" s="285"/>
      <c r="Z7" s="285"/>
      <c r="AA7" s="285"/>
      <c r="AB7" s="285"/>
      <c r="AC7" s="285"/>
      <c r="AD7" s="285"/>
      <c r="AE7" s="285"/>
      <c r="AF7" s="285"/>
      <c r="AG7" s="285"/>
      <c r="AH7" s="285"/>
      <c r="AI7" s="285"/>
      <c r="AJ7" s="285"/>
      <c r="AL7" s="285" t="s">
        <v>75</v>
      </c>
      <c r="AM7" s="285"/>
      <c r="AN7" s="285"/>
      <c r="AO7" s="285"/>
      <c r="AP7" s="285"/>
      <c r="AQ7" s="285"/>
      <c r="AR7" s="285"/>
      <c r="AS7" s="285"/>
      <c r="AT7" s="285"/>
      <c r="AU7" s="285"/>
      <c r="AV7" s="285"/>
      <c r="AW7" s="285"/>
      <c r="AX7" s="285"/>
      <c r="AY7" s="285"/>
      <c r="AZ7" s="285"/>
      <c r="BA7" s="285"/>
      <c r="BB7" s="285"/>
      <c r="BC7" s="285"/>
      <c r="BD7" s="285"/>
      <c r="BE7" s="285"/>
      <c r="BF7" s="285"/>
      <c r="BG7" s="45"/>
      <c r="BH7" s="285" t="s">
        <v>76</v>
      </c>
      <c r="BI7" s="285"/>
      <c r="BJ7" s="285"/>
      <c r="BK7" s="285"/>
      <c r="BL7" s="285"/>
      <c r="BM7" s="285"/>
      <c r="BN7" s="285"/>
      <c r="BO7" s="285"/>
      <c r="BP7" s="285"/>
      <c r="BQ7" s="285"/>
      <c r="BR7" s="285"/>
      <c r="BS7" s="285"/>
      <c r="BT7" s="285"/>
      <c r="BU7" s="285"/>
      <c r="BV7" s="285"/>
      <c r="BX7" s="285" t="s">
        <v>77</v>
      </c>
      <c r="BY7" s="285"/>
      <c r="BZ7" s="285"/>
      <c r="CA7" s="285"/>
      <c r="CB7" s="285"/>
      <c r="CC7" s="285"/>
      <c r="CD7" s="285"/>
      <c r="CE7" s="285"/>
      <c r="CF7" s="285"/>
      <c r="CG7" s="285"/>
      <c r="CH7" s="285"/>
      <c r="CI7" s="285"/>
      <c r="CJ7" s="285"/>
      <c r="CK7" s="285"/>
      <c r="CL7" s="285"/>
      <c r="CM7" s="285"/>
      <c r="CN7" s="285"/>
      <c r="CO7" s="285"/>
    </row>
    <row r="8" spans="1:95" s="35" customFormat="1" ht="20.25" customHeight="1">
      <c r="B8" s="286" t="s">
        <v>154</v>
      </c>
      <c r="C8" s="286"/>
      <c r="D8" s="286"/>
      <c r="E8" s="286"/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L8" s="286" t="str">
        <f>B8</f>
        <v>Tháng 08 năm 2020</v>
      </c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286"/>
      <c r="BB8" s="286"/>
      <c r="BC8" s="286"/>
      <c r="BD8" s="286"/>
      <c r="BE8" s="286"/>
      <c r="BF8" s="286"/>
      <c r="BG8" s="45"/>
      <c r="BH8" s="286" t="str">
        <f>AL8</f>
        <v>Tháng 08 năm 2020</v>
      </c>
      <c r="BI8" s="286"/>
      <c r="BJ8" s="286"/>
      <c r="BK8" s="286"/>
      <c r="BL8" s="286"/>
      <c r="BM8" s="286"/>
      <c r="BN8" s="286"/>
      <c r="BO8" s="286"/>
      <c r="BP8" s="286"/>
      <c r="BQ8" s="286"/>
      <c r="BR8" s="286"/>
      <c r="BS8" s="286"/>
      <c r="BT8" s="286"/>
      <c r="BU8" s="286"/>
      <c r="BV8" s="286"/>
      <c r="BX8" s="286" t="str">
        <f>BH8</f>
        <v>Tháng 08 năm 2020</v>
      </c>
      <c r="BY8" s="286"/>
      <c r="BZ8" s="286"/>
      <c r="CA8" s="286"/>
      <c r="CB8" s="286"/>
      <c r="CC8" s="286"/>
      <c r="CD8" s="286"/>
      <c r="CE8" s="286"/>
      <c r="CF8" s="286"/>
      <c r="CG8" s="286"/>
      <c r="CH8" s="286"/>
      <c r="CI8" s="286"/>
      <c r="CJ8" s="286"/>
      <c r="CK8" s="286"/>
      <c r="CL8" s="286"/>
      <c r="CM8" s="286"/>
      <c r="CN8" s="286"/>
      <c r="CO8" s="286"/>
    </row>
    <row r="9" spans="1:95" s="35" customFormat="1" ht="16.5"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L9" s="46"/>
      <c r="AM9" s="45"/>
      <c r="AN9" s="47"/>
      <c r="AO9" s="48"/>
      <c r="AP9" s="48"/>
      <c r="AQ9" s="48"/>
      <c r="AR9" s="48"/>
      <c r="AS9" s="48"/>
      <c r="AT9" s="48"/>
      <c r="AU9" s="49"/>
      <c r="AV9" s="48"/>
      <c r="AW9" s="48"/>
      <c r="AX9" s="50"/>
      <c r="AY9" s="51"/>
      <c r="AZ9" s="51"/>
      <c r="BA9" s="51"/>
      <c r="BB9" s="51"/>
      <c r="BC9" s="226" t="s">
        <v>78</v>
      </c>
      <c r="BD9" s="226"/>
      <c r="BE9" s="226"/>
      <c r="BF9" s="226"/>
      <c r="BG9" s="45"/>
      <c r="BH9" s="45"/>
      <c r="BI9" s="45"/>
      <c r="BJ9" s="45"/>
      <c r="BK9" s="45"/>
      <c r="BL9" s="45"/>
      <c r="BM9" s="45"/>
      <c r="BN9" s="45"/>
      <c r="BO9" s="45"/>
      <c r="BP9" s="45"/>
      <c r="BQ9" s="226" t="s">
        <v>78</v>
      </c>
      <c r="BR9" s="226"/>
      <c r="BS9" s="226"/>
      <c r="BT9" s="226"/>
      <c r="BU9" s="226"/>
      <c r="BV9" s="226"/>
      <c r="CH9" s="38"/>
      <c r="CL9" s="226" t="s">
        <v>78</v>
      </c>
      <c r="CM9" s="226"/>
      <c r="CN9" s="226"/>
      <c r="CO9" s="226"/>
    </row>
    <row r="10" spans="1:95" s="35" customFormat="1" ht="16.5">
      <c r="D10" s="107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07"/>
      <c r="AD10" s="107"/>
      <c r="AE10" s="107"/>
      <c r="AF10" s="107"/>
      <c r="AG10" s="107"/>
      <c r="AH10" s="107"/>
      <c r="AL10" s="46"/>
      <c r="AM10" s="45"/>
      <c r="AN10" s="47"/>
      <c r="AO10" s="48"/>
      <c r="AP10" s="48"/>
      <c r="AQ10" s="48"/>
      <c r="AR10" s="48"/>
      <c r="AS10" s="48"/>
      <c r="AT10" s="48"/>
      <c r="AU10" s="49"/>
      <c r="AV10" s="48"/>
      <c r="AW10" s="48"/>
      <c r="AX10" s="50"/>
      <c r="AY10" s="51"/>
      <c r="AZ10" s="51"/>
      <c r="BA10" s="51"/>
      <c r="BB10" s="51"/>
      <c r="BC10" s="52"/>
      <c r="BD10" s="52"/>
      <c r="BE10" s="52"/>
      <c r="BF10" s="52"/>
      <c r="BG10" s="45"/>
      <c r="BH10" s="45"/>
      <c r="BI10" s="4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CH10" s="38"/>
      <c r="CN10" s="38"/>
    </row>
    <row r="11" spans="1:95" s="35" customFormat="1" ht="28.9" customHeight="1">
      <c r="D11" s="107"/>
      <c r="E11" s="107"/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L11" s="262" t="s">
        <v>79</v>
      </c>
      <c r="AM11" s="265" t="s">
        <v>80</v>
      </c>
      <c r="AN11" s="268" t="s">
        <v>81</v>
      </c>
      <c r="AO11" s="270" t="s">
        <v>82</v>
      </c>
      <c r="AP11" s="271" t="s">
        <v>83</v>
      </c>
      <c r="AQ11" s="272"/>
      <c r="AR11" s="272"/>
      <c r="AS11" s="273"/>
      <c r="AT11" s="274" t="s">
        <v>84</v>
      </c>
      <c r="AU11" s="270" t="s">
        <v>85</v>
      </c>
      <c r="AV11" s="270" t="s">
        <v>86</v>
      </c>
      <c r="AW11" s="270" t="s">
        <v>87</v>
      </c>
      <c r="AX11" s="271" t="s">
        <v>88</v>
      </c>
      <c r="AY11" s="272"/>
      <c r="AZ11" s="272"/>
      <c r="BA11" s="272"/>
      <c r="BB11" s="273"/>
      <c r="BC11" s="276" t="s">
        <v>89</v>
      </c>
      <c r="BD11" s="276" t="s">
        <v>90</v>
      </c>
      <c r="BE11" s="270" t="s">
        <v>91</v>
      </c>
      <c r="BF11" s="278" t="s">
        <v>92</v>
      </c>
      <c r="BG11" s="53"/>
      <c r="BH11" s="249" t="s">
        <v>79</v>
      </c>
      <c r="BI11" s="249" t="s">
        <v>93</v>
      </c>
      <c r="BJ11" s="249" t="s">
        <v>94</v>
      </c>
      <c r="BK11" s="254" t="s">
        <v>95</v>
      </c>
      <c r="BL11" s="247" t="s">
        <v>96</v>
      </c>
      <c r="BM11" s="248"/>
      <c r="BN11" s="247" t="s">
        <v>97</v>
      </c>
      <c r="BO11" s="248"/>
      <c r="BP11" s="247" t="s">
        <v>98</v>
      </c>
      <c r="BQ11" s="248"/>
      <c r="BR11" s="257" t="s">
        <v>161</v>
      </c>
      <c r="BS11" s="258"/>
      <c r="BT11" s="247" t="s">
        <v>99</v>
      </c>
      <c r="BU11" s="248"/>
      <c r="BV11" s="249" t="s">
        <v>100</v>
      </c>
      <c r="BX11" s="232" t="s">
        <v>80</v>
      </c>
      <c r="BY11" s="232" t="s">
        <v>94</v>
      </c>
      <c r="BZ11" s="232" t="s">
        <v>101</v>
      </c>
      <c r="CA11" s="259" t="s">
        <v>83</v>
      </c>
      <c r="CB11" s="260"/>
      <c r="CC11" s="260"/>
      <c r="CD11" s="261"/>
      <c r="CE11" s="232" t="s">
        <v>102</v>
      </c>
      <c r="CF11" s="232" t="s">
        <v>103</v>
      </c>
      <c r="CG11" s="232" t="s">
        <v>104</v>
      </c>
      <c r="CH11" s="234" t="s">
        <v>105</v>
      </c>
      <c r="CI11" s="232" t="s">
        <v>106</v>
      </c>
      <c r="CJ11" s="232" t="s">
        <v>107</v>
      </c>
      <c r="CK11" s="232" t="s">
        <v>158</v>
      </c>
      <c r="CL11" s="232" t="s">
        <v>108</v>
      </c>
      <c r="CM11" s="232" t="s">
        <v>109</v>
      </c>
      <c r="CN11" s="234" t="s">
        <v>110</v>
      </c>
      <c r="CO11" s="232" t="s">
        <v>100</v>
      </c>
      <c r="CQ11" s="283" t="s">
        <v>135</v>
      </c>
    </row>
    <row r="12" spans="1:95" s="35" customFormat="1" ht="41.25" customHeight="1">
      <c r="A12" s="236"/>
      <c r="B12" s="238" t="s">
        <v>3</v>
      </c>
      <c r="C12" s="240" t="s">
        <v>111</v>
      </c>
      <c r="D12" s="242" t="s">
        <v>112</v>
      </c>
      <c r="E12" s="243"/>
      <c r="F12" s="243"/>
      <c r="G12" s="243"/>
      <c r="H12" s="243"/>
      <c r="I12" s="243"/>
      <c r="J12" s="243"/>
      <c r="K12" s="243"/>
      <c r="L12" s="243"/>
      <c r="M12" s="243"/>
      <c r="N12" s="243"/>
      <c r="O12" s="243"/>
      <c r="P12" s="243"/>
      <c r="Q12" s="243"/>
      <c r="R12" s="243"/>
      <c r="S12" s="243"/>
      <c r="T12" s="243"/>
      <c r="U12" s="243"/>
      <c r="V12" s="243"/>
      <c r="W12" s="243"/>
      <c r="X12" s="243"/>
      <c r="Y12" s="243"/>
      <c r="Z12" s="243"/>
      <c r="AA12" s="243"/>
      <c r="AB12" s="243"/>
      <c r="AC12" s="243"/>
      <c r="AD12" s="243"/>
      <c r="AE12" s="243"/>
      <c r="AF12" s="243"/>
      <c r="AG12" s="243"/>
      <c r="AH12" s="244"/>
      <c r="AI12" s="242" t="s">
        <v>102</v>
      </c>
      <c r="AJ12" s="244"/>
      <c r="AL12" s="263"/>
      <c r="AM12" s="266"/>
      <c r="AN12" s="269"/>
      <c r="AO12" s="233"/>
      <c r="AP12" s="54" t="s">
        <v>25</v>
      </c>
      <c r="AQ12" s="54" t="s">
        <v>26</v>
      </c>
      <c r="AR12" s="54" t="s">
        <v>27</v>
      </c>
      <c r="AS12" s="54" t="s">
        <v>28</v>
      </c>
      <c r="AT12" s="275"/>
      <c r="AU12" s="233"/>
      <c r="AV12" s="233"/>
      <c r="AW12" s="233"/>
      <c r="AX12" s="55" t="s">
        <v>113</v>
      </c>
      <c r="AY12" s="55" t="s">
        <v>114</v>
      </c>
      <c r="AZ12" s="55" t="s">
        <v>115</v>
      </c>
      <c r="BA12" s="215" t="s">
        <v>155</v>
      </c>
      <c r="BB12" s="56" t="s">
        <v>157</v>
      </c>
      <c r="BC12" s="277"/>
      <c r="BD12" s="277"/>
      <c r="BE12" s="233"/>
      <c r="BF12" s="279"/>
      <c r="BG12" s="245"/>
      <c r="BH12" s="250"/>
      <c r="BI12" s="250"/>
      <c r="BJ12" s="250"/>
      <c r="BK12" s="255"/>
      <c r="BL12" s="169" t="s">
        <v>116</v>
      </c>
      <c r="BM12" s="169" t="s">
        <v>117</v>
      </c>
      <c r="BN12" s="169" t="s">
        <v>116</v>
      </c>
      <c r="BO12" s="169" t="s">
        <v>117</v>
      </c>
      <c r="BP12" s="169" t="s">
        <v>116</v>
      </c>
      <c r="BQ12" s="169" t="s">
        <v>117</v>
      </c>
      <c r="BR12" s="220" t="s">
        <v>116</v>
      </c>
      <c r="BS12" s="220" t="s">
        <v>117</v>
      </c>
      <c r="BT12" s="169" t="s">
        <v>116</v>
      </c>
      <c r="BU12" s="169" t="s">
        <v>117</v>
      </c>
      <c r="BV12" s="250"/>
      <c r="BX12" s="252"/>
      <c r="BY12" s="233"/>
      <c r="BZ12" s="233"/>
      <c r="CA12" s="54" t="s">
        <v>25</v>
      </c>
      <c r="CB12" s="54" t="s">
        <v>26</v>
      </c>
      <c r="CC12" s="54" t="s">
        <v>27</v>
      </c>
      <c r="CD12" s="54" t="s">
        <v>28</v>
      </c>
      <c r="CE12" s="233"/>
      <c r="CF12" s="233"/>
      <c r="CG12" s="233"/>
      <c r="CH12" s="235"/>
      <c r="CI12" s="233"/>
      <c r="CJ12" s="233"/>
      <c r="CK12" s="233"/>
      <c r="CL12" s="233"/>
      <c r="CM12" s="233"/>
      <c r="CN12" s="235"/>
      <c r="CO12" s="233"/>
      <c r="CQ12" s="283"/>
    </row>
    <row r="13" spans="1:95" s="35" customFormat="1" ht="60">
      <c r="A13" s="237"/>
      <c r="B13" s="239"/>
      <c r="C13" s="241"/>
      <c r="D13" s="58">
        <v>1</v>
      </c>
      <c r="E13" s="58">
        <v>2</v>
      </c>
      <c r="F13" s="57">
        <v>3</v>
      </c>
      <c r="G13" s="57">
        <v>4</v>
      </c>
      <c r="H13" s="57">
        <v>5</v>
      </c>
      <c r="I13" s="57">
        <v>6</v>
      </c>
      <c r="J13" s="57">
        <v>7</v>
      </c>
      <c r="K13" s="58">
        <v>8</v>
      </c>
      <c r="L13" s="58">
        <v>9</v>
      </c>
      <c r="M13" s="57">
        <v>10</v>
      </c>
      <c r="N13" s="57">
        <v>11</v>
      </c>
      <c r="O13" s="57">
        <v>12</v>
      </c>
      <c r="P13" s="57">
        <v>13</v>
      </c>
      <c r="Q13" s="57">
        <v>14</v>
      </c>
      <c r="R13" s="58">
        <v>15</v>
      </c>
      <c r="S13" s="58">
        <v>16</v>
      </c>
      <c r="T13" s="57">
        <v>17</v>
      </c>
      <c r="U13" s="57">
        <v>18</v>
      </c>
      <c r="V13" s="57">
        <v>19</v>
      </c>
      <c r="W13" s="57">
        <v>20</v>
      </c>
      <c r="X13" s="57">
        <v>21</v>
      </c>
      <c r="Y13" s="58">
        <v>22</v>
      </c>
      <c r="Z13" s="58">
        <v>23</v>
      </c>
      <c r="AA13" s="57">
        <v>24</v>
      </c>
      <c r="AB13" s="57">
        <v>25</v>
      </c>
      <c r="AC13" s="57">
        <v>26</v>
      </c>
      <c r="AD13" s="57">
        <v>27</v>
      </c>
      <c r="AE13" s="57">
        <v>28</v>
      </c>
      <c r="AF13" s="58">
        <v>29</v>
      </c>
      <c r="AG13" s="58">
        <v>30</v>
      </c>
      <c r="AH13" s="57">
        <v>31</v>
      </c>
      <c r="AI13" s="59" t="s">
        <v>159</v>
      </c>
      <c r="AJ13" s="59" t="s">
        <v>160</v>
      </c>
      <c r="AL13" s="264"/>
      <c r="AM13" s="267"/>
      <c r="AN13" s="60">
        <v>1</v>
      </c>
      <c r="AO13" s="61">
        <v>2</v>
      </c>
      <c r="AP13" s="62">
        <v>3</v>
      </c>
      <c r="AQ13" s="61">
        <v>4</v>
      </c>
      <c r="AR13" s="62">
        <v>5</v>
      </c>
      <c r="AS13" s="61">
        <v>6</v>
      </c>
      <c r="AT13" s="61">
        <v>8</v>
      </c>
      <c r="AU13" s="62">
        <v>9</v>
      </c>
      <c r="AV13" s="134">
        <v>10</v>
      </c>
      <c r="AW13" s="62">
        <v>11</v>
      </c>
      <c r="AX13" s="62">
        <v>17</v>
      </c>
      <c r="AY13" s="61">
        <v>18</v>
      </c>
      <c r="AZ13" s="62">
        <v>19</v>
      </c>
      <c r="BA13" s="216">
        <v>20</v>
      </c>
      <c r="BB13" s="62">
        <v>21</v>
      </c>
      <c r="BC13" s="213">
        <v>22</v>
      </c>
      <c r="BD13" s="62">
        <v>23</v>
      </c>
      <c r="BE13" s="213">
        <v>24</v>
      </c>
      <c r="BF13" s="62">
        <v>25</v>
      </c>
      <c r="BG13" s="245"/>
      <c r="BH13" s="251"/>
      <c r="BI13" s="251"/>
      <c r="BJ13" s="251"/>
      <c r="BK13" s="256"/>
      <c r="BL13" s="63">
        <v>0.03</v>
      </c>
      <c r="BM13" s="63">
        <v>1.4999999999999999E-2</v>
      </c>
      <c r="BN13" s="63">
        <v>0.01</v>
      </c>
      <c r="BO13" s="63">
        <v>0.01</v>
      </c>
      <c r="BP13" s="63">
        <v>0.17499999999999999</v>
      </c>
      <c r="BQ13" s="63">
        <v>0.08</v>
      </c>
      <c r="BR13" s="221">
        <v>0.02</v>
      </c>
      <c r="BS13" s="221">
        <v>0.01</v>
      </c>
      <c r="BT13" s="63">
        <v>0.23499999999999999</v>
      </c>
      <c r="BU13" s="63">
        <v>0.115</v>
      </c>
      <c r="BV13" s="251"/>
      <c r="BX13" s="253"/>
      <c r="BY13" s="64" t="s">
        <v>118</v>
      </c>
      <c r="BZ13" s="64">
        <v>1</v>
      </c>
      <c r="CA13" s="64">
        <v>2</v>
      </c>
      <c r="CB13" s="64">
        <v>3</v>
      </c>
      <c r="CC13" s="64">
        <v>4</v>
      </c>
      <c r="CD13" s="64">
        <v>5</v>
      </c>
      <c r="CE13" s="64">
        <v>6</v>
      </c>
      <c r="CF13" s="64">
        <v>7</v>
      </c>
      <c r="CG13" s="64">
        <v>8</v>
      </c>
      <c r="CH13" s="65">
        <v>9</v>
      </c>
      <c r="CI13" s="64">
        <v>10</v>
      </c>
      <c r="CJ13" s="64">
        <v>11</v>
      </c>
      <c r="CK13" s="64">
        <v>12</v>
      </c>
      <c r="CL13" s="64">
        <v>13</v>
      </c>
      <c r="CM13" s="64">
        <v>14</v>
      </c>
      <c r="CN13" s="65">
        <v>15</v>
      </c>
      <c r="CO13" s="64">
        <v>16</v>
      </c>
      <c r="CQ13" s="283"/>
    </row>
    <row r="14" spans="1:95" s="67" customFormat="1" ht="15.6" customHeight="1">
      <c r="A14" s="66"/>
      <c r="B14" s="246" t="s">
        <v>119</v>
      </c>
      <c r="C14" s="246"/>
      <c r="D14" s="246"/>
      <c r="E14" s="246"/>
      <c r="F14" s="246"/>
      <c r="G14" s="246"/>
      <c r="H14" s="246"/>
      <c r="I14" s="246"/>
      <c r="J14" s="246"/>
      <c r="K14" s="246"/>
      <c r="L14" s="246"/>
      <c r="M14" s="246"/>
      <c r="N14" s="246"/>
      <c r="O14" s="246"/>
      <c r="P14" s="246"/>
      <c r="Q14" s="246"/>
      <c r="R14" s="246"/>
      <c r="S14" s="246"/>
      <c r="T14" s="246"/>
      <c r="U14" s="246"/>
      <c r="V14" s="246"/>
      <c r="W14" s="246"/>
      <c r="X14" s="246"/>
      <c r="Y14" s="246"/>
      <c r="Z14" s="246"/>
      <c r="AA14" s="246"/>
      <c r="AB14" s="246"/>
      <c r="AC14" s="246"/>
      <c r="AD14" s="246"/>
      <c r="AE14" s="246"/>
      <c r="AF14" s="246"/>
      <c r="AG14" s="246"/>
      <c r="AH14" s="246"/>
      <c r="AI14" s="246"/>
      <c r="AJ14" s="246"/>
      <c r="AL14" s="68" t="s">
        <v>120</v>
      </c>
      <c r="AM14" s="69" t="s">
        <v>121</v>
      </c>
      <c r="AN14" s="70"/>
      <c r="AO14" s="71">
        <f t="shared" ref="AO14:BE14" si="0">SUM(AO15:AO31)</f>
        <v>5000000</v>
      </c>
      <c r="AP14" s="71">
        <f t="shared" si="0"/>
        <v>680000</v>
      </c>
      <c r="AQ14" s="71">
        <f t="shared" si="0"/>
        <v>300000</v>
      </c>
      <c r="AR14" s="71">
        <f t="shared" si="0"/>
        <v>10820000</v>
      </c>
      <c r="AS14" s="71">
        <f t="shared" si="0"/>
        <v>200000</v>
      </c>
      <c r="AT14" s="71">
        <f t="shared" si="0"/>
        <v>17000000</v>
      </c>
      <c r="AU14" s="71">
        <f t="shared" si="0"/>
        <v>341</v>
      </c>
      <c r="AV14" s="71">
        <f t="shared" si="0"/>
        <v>17000000</v>
      </c>
      <c r="AW14" s="71">
        <f t="shared" si="0"/>
        <v>5000000</v>
      </c>
      <c r="AX14" s="71">
        <f t="shared" si="0"/>
        <v>400000</v>
      </c>
      <c r="AY14" s="71">
        <f t="shared" si="0"/>
        <v>75000</v>
      </c>
      <c r="AZ14" s="71">
        <f t="shared" si="0"/>
        <v>50000</v>
      </c>
      <c r="BA14" s="71">
        <f t="shared" si="0"/>
        <v>50000</v>
      </c>
      <c r="BB14" s="71">
        <f t="shared" si="0"/>
        <v>575000</v>
      </c>
      <c r="BC14" s="71">
        <f t="shared" si="0"/>
        <v>227250</v>
      </c>
      <c r="BD14" s="71">
        <f t="shared" si="0"/>
        <v>0</v>
      </c>
      <c r="BE14" s="71">
        <f t="shared" si="0"/>
        <v>16197750</v>
      </c>
      <c r="BF14" s="71"/>
      <c r="BG14" s="245"/>
      <c r="BH14" s="72"/>
      <c r="BI14" s="72" t="s">
        <v>119</v>
      </c>
      <c r="BJ14" s="69"/>
      <c r="BK14" s="71">
        <f t="shared" ref="BK14:BQ14" si="1">SUM(BK15:BK31)</f>
        <v>5000000</v>
      </c>
      <c r="BL14" s="71">
        <f t="shared" si="1"/>
        <v>150000</v>
      </c>
      <c r="BM14" s="71">
        <f t="shared" si="1"/>
        <v>75000</v>
      </c>
      <c r="BN14" s="71">
        <f t="shared" si="1"/>
        <v>50000</v>
      </c>
      <c r="BO14" s="71">
        <f t="shared" si="1"/>
        <v>50000</v>
      </c>
      <c r="BP14" s="71">
        <f t="shared" si="1"/>
        <v>875000</v>
      </c>
      <c r="BQ14" s="71">
        <f t="shared" si="1"/>
        <v>400000</v>
      </c>
      <c r="BR14" s="222">
        <f t="shared" ref="BR14" si="2">SUM(BR15:BR31)</f>
        <v>100000</v>
      </c>
      <c r="BS14" s="222">
        <f t="shared" ref="BS14" si="3">SUM(BS15:BS31)</f>
        <v>50000</v>
      </c>
      <c r="BT14" s="71">
        <f t="shared" ref="BT14" si="4">SUM(BT15:BT31)</f>
        <v>1175000</v>
      </c>
      <c r="BU14" s="71">
        <f t="shared" ref="BU14" si="5">SUM(BU15:BU31)</f>
        <v>575000</v>
      </c>
      <c r="BV14" s="69"/>
      <c r="BX14" s="69" t="s">
        <v>119</v>
      </c>
      <c r="BY14" s="73"/>
      <c r="BZ14" s="71">
        <f t="shared" ref="BZ14:CN14" si="6">SUM(BZ15:BZ31)</f>
        <v>5000000</v>
      </c>
      <c r="CA14" s="71">
        <f t="shared" si="6"/>
        <v>680000</v>
      </c>
      <c r="CB14" s="71">
        <f t="shared" si="6"/>
        <v>300000</v>
      </c>
      <c r="CC14" s="71">
        <f t="shared" si="6"/>
        <v>10820000</v>
      </c>
      <c r="CD14" s="71">
        <f t="shared" si="6"/>
        <v>200000</v>
      </c>
      <c r="CE14" s="71">
        <f t="shared" si="6"/>
        <v>17000000</v>
      </c>
      <c r="CF14" s="71">
        <f t="shared" si="6"/>
        <v>343</v>
      </c>
      <c r="CG14" s="71">
        <f t="shared" si="6"/>
        <v>16120000</v>
      </c>
      <c r="CH14" s="74">
        <f t="shared" si="6"/>
        <v>0</v>
      </c>
      <c r="CI14" s="71">
        <f t="shared" si="6"/>
        <v>0</v>
      </c>
      <c r="CJ14" s="71">
        <f t="shared" si="6"/>
        <v>11000000</v>
      </c>
      <c r="CK14" s="71">
        <f t="shared" si="6"/>
        <v>575000</v>
      </c>
      <c r="CL14" s="71">
        <f t="shared" si="6"/>
        <v>11575000</v>
      </c>
      <c r="CM14" s="71">
        <f t="shared" si="6"/>
        <v>4545000</v>
      </c>
      <c r="CN14" s="74">
        <f t="shared" si="6"/>
        <v>227250</v>
      </c>
      <c r="CO14" s="75"/>
      <c r="CQ14" s="133"/>
    </row>
    <row r="15" spans="1:95" s="67" customFormat="1" ht="15.75">
      <c r="A15" s="76">
        <v>1</v>
      </c>
      <c r="B15" s="76" t="s">
        <v>36</v>
      </c>
      <c r="C15" s="77" t="s">
        <v>44</v>
      </c>
      <c r="D15" s="58"/>
      <c r="E15" s="58"/>
      <c r="F15" s="77" t="s">
        <v>153</v>
      </c>
      <c r="G15" s="77" t="s">
        <v>153</v>
      </c>
      <c r="H15" s="77" t="s">
        <v>153</v>
      </c>
      <c r="I15" s="77" t="s">
        <v>153</v>
      </c>
      <c r="J15" s="77" t="s">
        <v>153</v>
      </c>
      <c r="K15" s="58"/>
      <c r="L15" s="58"/>
      <c r="M15" s="77" t="s">
        <v>153</v>
      </c>
      <c r="N15" s="77" t="s">
        <v>153</v>
      </c>
      <c r="O15" s="77" t="s">
        <v>153</v>
      </c>
      <c r="P15" s="77" t="s">
        <v>153</v>
      </c>
      <c r="Q15" s="77" t="s">
        <v>153</v>
      </c>
      <c r="R15" s="58"/>
      <c r="S15" s="58"/>
      <c r="T15" s="77" t="s">
        <v>153</v>
      </c>
      <c r="U15" s="77" t="s">
        <v>153</v>
      </c>
      <c r="V15" s="77" t="s">
        <v>153</v>
      </c>
      <c r="W15" s="77" t="s">
        <v>153</v>
      </c>
      <c r="X15" s="77" t="s">
        <v>153</v>
      </c>
      <c r="Y15" s="58"/>
      <c r="Z15" s="58"/>
      <c r="AA15" s="77" t="s">
        <v>153</v>
      </c>
      <c r="AB15" s="77" t="s">
        <v>153</v>
      </c>
      <c r="AC15" s="77" t="s">
        <v>153</v>
      </c>
      <c r="AD15" s="77" t="s">
        <v>153</v>
      </c>
      <c r="AE15" s="77" t="s">
        <v>153</v>
      </c>
      <c r="AF15" s="58"/>
      <c r="AG15" s="58"/>
      <c r="AH15" s="77" t="s">
        <v>153</v>
      </c>
      <c r="AI15" s="78">
        <f>COUNTIF(D15:AH15,"X")+COUNTIF(D15:AH15,"L")+(COUNTIF(D15:AH15,"X/2")/2)</f>
        <v>21</v>
      </c>
      <c r="AJ15" s="78">
        <v>21</v>
      </c>
      <c r="AL15" s="79">
        <v>1</v>
      </c>
      <c r="AM15" s="80" t="str">
        <f>C15</f>
        <v>Nguyễn Thị Thanh Châu</v>
      </c>
      <c r="AN15" s="80" t="s">
        <v>45</v>
      </c>
      <c r="AO15" s="210"/>
      <c r="AP15" s="210"/>
      <c r="AQ15" s="210"/>
      <c r="AR15" s="210"/>
      <c r="AS15" s="210"/>
      <c r="AT15" s="81">
        <f>AO15+AP15+AQ15+AR15+AS15</f>
        <v>0</v>
      </c>
      <c r="AU15" s="82">
        <f>AI15</f>
        <v>21</v>
      </c>
      <c r="AV15" s="77">
        <f>(AT15/ AJ15) *AU15</f>
        <v>0</v>
      </c>
      <c r="AW15" s="83">
        <f>AO15</f>
        <v>0</v>
      </c>
      <c r="AX15" s="84">
        <f>$AW15*8%</f>
        <v>0</v>
      </c>
      <c r="AY15" s="84">
        <f t="shared" ref="AY15:AY30" si="7">$AW15*1.5%</f>
        <v>0</v>
      </c>
      <c r="AZ15" s="84">
        <f t="shared" ref="AZ15:AZ30" si="8">$AW15*1%</f>
        <v>0</v>
      </c>
      <c r="BA15" s="214">
        <f>MIN(AW15*1%,$AP$41*10%)</f>
        <v>0</v>
      </c>
      <c r="BB15" s="84">
        <f>SUM(AX15:BA15)</f>
        <v>0</v>
      </c>
      <c r="BC15" s="84">
        <f>CN15</f>
        <v>0</v>
      </c>
      <c r="BD15" s="77">
        <v>0</v>
      </c>
      <c r="BE15" s="94">
        <f t="shared" ref="BE15:BE31" si="9">AV15-BB15-BC15-BD15</f>
        <v>0</v>
      </c>
      <c r="BF15" s="94"/>
      <c r="BG15" s="212"/>
      <c r="BH15" s="86">
        <v>1</v>
      </c>
      <c r="BI15" s="80" t="s">
        <v>122</v>
      </c>
      <c r="BJ15" s="80" t="s">
        <v>45</v>
      </c>
      <c r="BK15" s="83">
        <f>AW15</f>
        <v>0</v>
      </c>
      <c r="BL15" s="87">
        <f>BK15*0.03</f>
        <v>0</v>
      </c>
      <c r="BM15" s="87">
        <f>BK15*0.015</f>
        <v>0</v>
      </c>
      <c r="BN15" s="87">
        <f>BK15*0.01</f>
        <v>0</v>
      </c>
      <c r="BO15" s="87">
        <f>BK15*0.01</f>
        <v>0</v>
      </c>
      <c r="BP15" s="87">
        <f>BK15*0.175</f>
        <v>0</v>
      </c>
      <c r="BQ15" s="87">
        <f>BK15*0.08</f>
        <v>0</v>
      </c>
      <c r="BR15" s="223">
        <f>BK15*2%</f>
        <v>0</v>
      </c>
      <c r="BS15" s="223">
        <f>MIN(BK15*1%,$AP$41*10%)</f>
        <v>0</v>
      </c>
      <c r="BT15" s="87">
        <f>+BL15+BN15+BP15+BR15</f>
        <v>0</v>
      </c>
      <c r="BU15" s="87">
        <f>+BM15+BO15+BQ15+BS15</f>
        <v>0</v>
      </c>
      <c r="BV15" s="87"/>
      <c r="BX15" s="88" t="str">
        <f>BI15</f>
        <v xml:space="preserve">Nguyễn Thị Thanh Châu </v>
      </c>
      <c r="BY15" s="88" t="str">
        <f>BJ15</f>
        <v>Office Manager</v>
      </c>
      <c r="BZ15" s="87">
        <f t="shared" ref="BZ15:BZ30" si="10">AO15</f>
        <v>0</v>
      </c>
      <c r="CA15" s="87">
        <f t="shared" ref="CA15:CA30" si="11">AP15</f>
        <v>0</v>
      </c>
      <c r="CB15" s="87">
        <f t="shared" ref="CB15:CB30" si="12">AQ15</f>
        <v>0</v>
      </c>
      <c r="CC15" s="87">
        <f t="shared" ref="CC15:CC30" si="13">AR15</f>
        <v>0</v>
      </c>
      <c r="CD15" s="87">
        <f t="shared" ref="CD15:CD30" si="14">AS15</f>
        <v>0</v>
      </c>
      <c r="CE15" s="87">
        <f t="shared" ref="CE15:CE31" si="15">SUM(BZ15:CD15)</f>
        <v>0</v>
      </c>
      <c r="CF15" s="87">
        <f>AI15</f>
        <v>21</v>
      </c>
      <c r="CG15" s="77">
        <f>((BZ15+CB15+CC15)/AI15)*CF15</f>
        <v>0</v>
      </c>
      <c r="CH15" s="89"/>
      <c r="CI15" s="87">
        <f t="shared" ref="CI15:CI31" si="16">IF(CH15&gt;0,CH15*4400000,0)</f>
        <v>0</v>
      </c>
      <c r="CJ15" s="87"/>
      <c r="CK15" s="87">
        <f>BB15</f>
        <v>0</v>
      </c>
      <c r="CL15" s="87">
        <f t="shared" ref="CL15:CL31" si="17">SUM(CI15:CK15)</f>
        <v>0</v>
      </c>
      <c r="CM15" s="87">
        <f>IF(CG15-CL15&gt;0,CG15-CL15,0)</f>
        <v>0</v>
      </c>
      <c r="CN15" s="90">
        <f>IF(CM15&lt;=5000000,CM15*5%,IF(CM15&lt;=10000000,10%*CM15-250000,IF(CM15&lt;=18000000,15%*CM15-750000,IF(CM15&lt;=32000000,20%*CM15-1650000,IF(CM15&lt;=52000000,25%*CM15-3250000,IF(CM15&lt;=80000000,30%*CM15-5850000,35%*CM15-9850000))))))</f>
        <v>0</v>
      </c>
      <c r="CO15" s="88"/>
      <c r="CQ15" s="170" t="s">
        <v>136</v>
      </c>
    </row>
    <row r="16" spans="1:95" s="67" customFormat="1" ht="15.75">
      <c r="A16" s="76">
        <v>2</v>
      </c>
      <c r="B16" s="76" t="s">
        <v>37</v>
      </c>
      <c r="C16" s="91" t="s">
        <v>46</v>
      </c>
      <c r="D16" s="58"/>
      <c r="E16" s="58"/>
      <c r="F16" s="77" t="s">
        <v>153</v>
      </c>
      <c r="G16" s="77" t="s">
        <v>153</v>
      </c>
      <c r="H16" s="77" t="s">
        <v>153</v>
      </c>
      <c r="I16" s="77" t="s">
        <v>153</v>
      </c>
      <c r="J16" s="77" t="s">
        <v>153</v>
      </c>
      <c r="K16" s="58"/>
      <c r="L16" s="58"/>
      <c r="M16" s="77" t="s">
        <v>153</v>
      </c>
      <c r="N16" s="77" t="s">
        <v>153</v>
      </c>
      <c r="O16" s="77" t="s">
        <v>153</v>
      </c>
      <c r="P16" s="77" t="s">
        <v>153</v>
      </c>
      <c r="Q16" s="77" t="s">
        <v>153</v>
      </c>
      <c r="R16" s="58"/>
      <c r="S16" s="58"/>
      <c r="T16" s="77" t="s">
        <v>153</v>
      </c>
      <c r="U16" s="77" t="s">
        <v>153</v>
      </c>
      <c r="V16" s="77" t="s">
        <v>153</v>
      </c>
      <c r="W16" s="77" t="s">
        <v>153</v>
      </c>
      <c r="X16" s="77" t="s">
        <v>153</v>
      </c>
      <c r="Y16" s="58"/>
      <c r="Z16" s="58"/>
      <c r="AA16" s="77" t="s">
        <v>153</v>
      </c>
      <c r="AB16" s="77" t="s">
        <v>153</v>
      </c>
      <c r="AC16" s="77" t="s">
        <v>153</v>
      </c>
      <c r="AD16" s="77" t="s">
        <v>153</v>
      </c>
      <c r="AE16" s="77" t="s">
        <v>153</v>
      </c>
      <c r="AF16" s="58"/>
      <c r="AG16" s="58"/>
      <c r="AH16" s="77" t="s">
        <v>153</v>
      </c>
      <c r="AI16" s="78">
        <f t="shared" ref="AI16:AI31" si="18">COUNTIF(D16:AH16,"X")+COUNTIF(D16:AH16,"L")+(COUNTIF(D16:AH16,"X/2")/2)</f>
        <v>21</v>
      </c>
      <c r="AJ16" s="78">
        <v>21</v>
      </c>
      <c r="AL16" s="92">
        <v>2</v>
      </c>
      <c r="AM16" s="80" t="s">
        <v>46</v>
      </c>
      <c r="AN16" s="80" t="s">
        <v>30</v>
      </c>
      <c r="AO16" s="210"/>
      <c r="AP16" s="210"/>
      <c r="AQ16" s="210"/>
      <c r="AR16" s="210"/>
      <c r="AS16" s="210"/>
      <c r="AT16" s="93">
        <f t="shared" ref="AT16:AT31" si="19">AO16+AP16+AQ16+AR16+AS16</f>
        <v>0</v>
      </c>
      <c r="AU16" s="82">
        <f t="shared" ref="AU16:AU31" si="20">AI16</f>
        <v>21</v>
      </c>
      <c r="AV16" s="77">
        <f t="shared" ref="AV16:AV31" si="21">(AT16/ AJ16) *AU16</f>
        <v>0</v>
      </c>
      <c r="AW16" s="83">
        <f t="shared" ref="AW16:AW30" si="22">AO16</f>
        <v>0</v>
      </c>
      <c r="AX16" s="84">
        <f t="shared" ref="AX16:AX30" si="23">$AW16*8%</f>
        <v>0</v>
      </c>
      <c r="AY16" s="84">
        <f t="shared" si="7"/>
        <v>0</v>
      </c>
      <c r="AZ16" s="84">
        <f t="shared" si="8"/>
        <v>0</v>
      </c>
      <c r="BA16" s="214">
        <f>MIN(AW16*1%,$AP$41*10%)</f>
        <v>0</v>
      </c>
      <c r="BB16" s="84">
        <f>SUM(AX16:BA16)</f>
        <v>0</v>
      </c>
      <c r="BC16" s="84">
        <f t="shared" ref="BC16:BC30" si="24">CN16</f>
        <v>0</v>
      </c>
      <c r="BD16" s="77">
        <v>0</v>
      </c>
      <c r="BE16" s="94">
        <f t="shared" si="9"/>
        <v>0</v>
      </c>
      <c r="BF16" s="94"/>
      <c r="BG16" s="212"/>
      <c r="BH16" s="86">
        <v>2</v>
      </c>
      <c r="BI16" s="80" t="s">
        <v>46</v>
      </c>
      <c r="BJ16" s="80" t="s">
        <v>30</v>
      </c>
      <c r="BK16" s="83">
        <f t="shared" ref="BK16:BK31" si="25">AW16</f>
        <v>0</v>
      </c>
      <c r="BL16" s="87">
        <f t="shared" ref="BL16:BL30" si="26">BK16*0.03</f>
        <v>0</v>
      </c>
      <c r="BM16" s="87">
        <f t="shared" ref="BM16:BM30" si="27">BK16*0.015</f>
        <v>0</v>
      </c>
      <c r="BN16" s="87">
        <f t="shared" ref="BN16:BN30" si="28">BK16*0.01</f>
        <v>0</v>
      </c>
      <c r="BO16" s="87">
        <f t="shared" ref="BO16:BO30" si="29">BK16*0.01</f>
        <v>0</v>
      </c>
      <c r="BP16" s="87">
        <f t="shared" ref="BP16:BP30" si="30">BK16*0.175</f>
        <v>0</v>
      </c>
      <c r="BQ16" s="87">
        <f t="shared" ref="BQ16:BQ30" si="31">BK16*0.08</f>
        <v>0</v>
      </c>
      <c r="BR16" s="223">
        <f t="shared" ref="BR16:BR31" si="32">BK16*2%</f>
        <v>0</v>
      </c>
      <c r="BS16" s="223">
        <f t="shared" ref="BS16:BS31" si="33">MIN(BK16*1%,$AP$41*10%)</f>
        <v>0</v>
      </c>
      <c r="BT16" s="87">
        <f t="shared" ref="BT16:BT30" si="34">+BL16+BN16+BP16+BR16</f>
        <v>0</v>
      </c>
      <c r="BU16" s="87">
        <f t="shared" ref="BU16:BU30" si="35">+BM16+BO16+BQ16+BS16</f>
        <v>0</v>
      </c>
      <c r="BV16" s="87"/>
      <c r="BX16" s="80" t="s">
        <v>46</v>
      </c>
      <c r="BY16" s="88" t="str">
        <f t="shared" ref="BY16:BY21" si="36">BJ16</f>
        <v>Lap trinh vien</v>
      </c>
      <c r="BZ16" s="87">
        <f t="shared" si="10"/>
        <v>0</v>
      </c>
      <c r="CA16" s="87">
        <f t="shared" si="11"/>
        <v>0</v>
      </c>
      <c r="CB16" s="87">
        <f t="shared" si="12"/>
        <v>0</v>
      </c>
      <c r="CC16" s="87">
        <f t="shared" si="13"/>
        <v>0</v>
      </c>
      <c r="CD16" s="87">
        <f t="shared" si="14"/>
        <v>0</v>
      </c>
      <c r="CE16" s="87">
        <f t="shared" si="15"/>
        <v>0</v>
      </c>
      <c r="CF16" s="87">
        <f t="shared" ref="CF16:CF30" si="37">AI16</f>
        <v>21</v>
      </c>
      <c r="CG16" s="77">
        <f t="shared" ref="CG16:CG30" si="38">((BZ16+CB16+CC16)/AI16)*CF16</f>
        <v>0</v>
      </c>
      <c r="CH16" s="89"/>
      <c r="CI16" s="87">
        <f t="shared" si="16"/>
        <v>0</v>
      </c>
      <c r="CJ16" s="87"/>
      <c r="CK16" s="87">
        <f t="shared" ref="CK16:CK31" si="39">BB16</f>
        <v>0</v>
      </c>
      <c r="CL16" s="87">
        <f t="shared" si="17"/>
        <v>0</v>
      </c>
      <c r="CM16" s="87">
        <f t="shared" ref="CM16:CM30" si="40">IF(CG16-CL16&gt;0,CG16-CL16,0)</f>
        <v>0</v>
      </c>
      <c r="CN16" s="90">
        <f>IF(CM16&lt;=5000000,CM16*5%,IF(CM16&lt;=10000000,10%*CM16-250000,IF(CM16&lt;=18000000,15%*CM16-750000,IF(CM16&lt;=32000000,20%*CM16-1650000,IF(CM16&lt;=52000000,25%*CM16-3250000,IF(CM16&lt;=80000000,30%*CM16-5850000,35%*CM16-9850000))))))</f>
        <v>0</v>
      </c>
      <c r="CO16" s="88"/>
      <c r="CQ16" s="170" t="s">
        <v>137</v>
      </c>
    </row>
    <row r="17" spans="1:95" s="95" customFormat="1" ht="15.75">
      <c r="A17" s="76">
        <v>3</v>
      </c>
      <c r="B17" s="76" t="s">
        <v>38</v>
      </c>
      <c r="C17" s="91" t="s">
        <v>47</v>
      </c>
      <c r="D17" s="58"/>
      <c r="E17" s="58"/>
      <c r="F17" s="77" t="s">
        <v>153</v>
      </c>
      <c r="G17" s="77" t="s">
        <v>153</v>
      </c>
      <c r="H17" s="77" t="s">
        <v>153</v>
      </c>
      <c r="I17" s="77" t="s">
        <v>153</v>
      </c>
      <c r="J17" s="77" t="s">
        <v>153</v>
      </c>
      <c r="K17" s="58"/>
      <c r="L17" s="58"/>
      <c r="M17" s="77" t="s">
        <v>153</v>
      </c>
      <c r="N17" s="77" t="s">
        <v>153</v>
      </c>
      <c r="O17" s="77" t="s">
        <v>153</v>
      </c>
      <c r="P17" s="77" t="s">
        <v>153</v>
      </c>
      <c r="Q17" s="77" t="s">
        <v>153</v>
      </c>
      <c r="R17" s="58"/>
      <c r="S17" s="58"/>
      <c r="T17" s="77" t="s">
        <v>153</v>
      </c>
      <c r="U17" s="77" t="s">
        <v>153</v>
      </c>
      <c r="V17" s="77" t="s">
        <v>153</v>
      </c>
      <c r="W17" s="77" t="s">
        <v>153</v>
      </c>
      <c r="X17" s="77" t="s">
        <v>153</v>
      </c>
      <c r="Y17" s="58"/>
      <c r="Z17" s="58"/>
      <c r="AA17" s="77" t="s">
        <v>153</v>
      </c>
      <c r="AB17" s="77" t="s">
        <v>153</v>
      </c>
      <c r="AC17" s="77" t="s">
        <v>153</v>
      </c>
      <c r="AD17" s="77" t="s">
        <v>153</v>
      </c>
      <c r="AE17" s="77" t="s">
        <v>153</v>
      </c>
      <c r="AF17" s="58"/>
      <c r="AG17" s="58"/>
      <c r="AH17" s="77" t="s">
        <v>153</v>
      </c>
      <c r="AI17" s="78">
        <f t="shared" si="18"/>
        <v>21</v>
      </c>
      <c r="AJ17" s="78">
        <v>21</v>
      </c>
      <c r="AL17" s="92">
        <v>3</v>
      </c>
      <c r="AM17" s="80" t="s">
        <v>47</v>
      </c>
      <c r="AN17" s="80" t="s">
        <v>30</v>
      </c>
      <c r="AO17" s="210"/>
      <c r="AP17" s="210"/>
      <c r="AQ17" s="210"/>
      <c r="AR17" s="210"/>
      <c r="AS17" s="210"/>
      <c r="AT17" s="93">
        <f t="shared" si="19"/>
        <v>0</v>
      </c>
      <c r="AU17" s="82">
        <f t="shared" si="20"/>
        <v>21</v>
      </c>
      <c r="AV17" s="77">
        <f t="shared" si="21"/>
        <v>0</v>
      </c>
      <c r="AW17" s="83">
        <f t="shared" si="22"/>
        <v>0</v>
      </c>
      <c r="AX17" s="84">
        <f t="shared" si="23"/>
        <v>0</v>
      </c>
      <c r="AY17" s="84">
        <f t="shared" si="7"/>
        <v>0</v>
      </c>
      <c r="AZ17" s="84">
        <f t="shared" si="8"/>
        <v>0</v>
      </c>
      <c r="BA17" s="214">
        <f t="shared" ref="BA17:BA31" si="41">MIN(AW17*1%,$AP$41*10%)</f>
        <v>0</v>
      </c>
      <c r="BB17" s="84">
        <f>SUM(AX17:BA17)</f>
        <v>0</v>
      </c>
      <c r="BC17" s="84">
        <f t="shared" si="24"/>
        <v>0</v>
      </c>
      <c r="BD17" s="77">
        <v>0</v>
      </c>
      <c r="BE17" s="94">
        <f t="shared" si="9"/>
        <v>0</v>
      </c>
      <c r="BF17" s="94"/>
      <c r="BG17" s="212"/>
      <c r="BH17" s="86">
        <v>3</v>
      </c>
      <c r="BI17" s="80" t="s">
        <v>47</v>
      </c>
      <c r="BJ17" s="80" t="s">
        <v>30</v>
      </c>
      <c r="BK17" s="83">
        <f t="shared" si="25"/>
        <v>0</v>
      </c>
      <c r="BL17" s="87">
        <f t="shared" si="26"/>
        <v>0</v>
      </c>
      <c r="BM17" s="87">
        <f t="shared" si="27"/>
        <v>0</v>
      </c>
      <c r="BN17" s="87">
        <f t="shared" si="28"/>
        <v>0</v>
      </c>
      <c r="BO17" s="87">
        <f t="shared" si="29"/>
        <v>0</v>
      </c>
      <c r="BP17" s="87">
        <f t="shared" si="30"/>
        <v>0</v>
      </c>
      <c r="BQ17" s="87">
        <f t="shared" si="31"/>
        <v>0</v>
      </c>
      <c r="BR17" s="223">
        <f t="shared" si="32"/>
        <v>0</v>
      </c>
      <c r="BS17" s="223">
        <f t="shared" si="33"/>
        <v>0</v>
      </c>
      <c r="BT17" s="87">
        <f t="shared" si="34"/>
        <v>0</v>
      </c>
      <c r="BU17" s="87">
        <f t="shared" si="35"/>
        <v>0</v>
      </c>
      <c r="BV17" s="96"/>
      <c r="BX17" s="80" t="s">
        <v>47</v>
      </c>
      <c r="BY17" s="80" t="str">
        <f t="shared" si="36"/>
        <v>Lap trinh vien</v>
      </c>
      <c r="BZ17" s="87">
        <f t="shared" si="10"/>
        <v>0</v>
      </c>
      <c r="CA17" s="87">
        <f t="shared" si="11"/>
        <v>0</v>
      </c>
      <c r="CB17" s="87">
        <f t="shared" si="12"/>
        <v>0</v>
      </c>
      <c r="CC17" s="87">
        <f t="shared" si="13"/>
        <v>0</v>
      </c>
      <c r="CD17" s="87">
        <f t="shared" si="14"/>
        <v>0</v>
      </c>
      <c r="CE17" s="87">
        <f t="shared" si="15"/>
        <v>0</v>
      </c>
      <c r="CF17" s="87">
        <f t="shared" si="37"/>
        <v>21</v>
      </c>
      <c r="CG17" s="77">
        <f t="shared" si="38"/>
        <v>0</v>
      </c>
      <c r="CH17" s="89"/>
      <c r="CI17" s="87">
        <f t="shared" si="16"/>
        <v>0</v>
      </c>
      <c r="CJ17" s="87"/>
      <c r="CK17" s="87">
        <f t="shared" si="39"/>
        <v>0</v>
      </c>
      <c r="CL17" s="87">
        <f t="shared" si="17"/>
        <v>0</v>
      </c>
      <c r="CM17" s="87">
        <f t="shared" si="40"/>
        <v>0</v>
      </c>
      <c r="CN17" s="90">
        <f t="shared" ref="CN17:CN30" si="42">IF(CM17&lt;=5000000,CM17*5%,IF(CM17&lt;=10000000,10%*CM17-250000,IF(CM17&lt;=18000000,15%*CM17-750000,IF(CM17&lt;=32000000,20%*CM17-1650000,IF(CM17&lt;=52000000,25%*CM17-3250000,IF(CM17&lt;=80000000,30%*CM17-5850000,35%*CM17-9850000))))))</f>
        <v>0</v>
      </c>
      <c r="CO17" s="97"/>
      <c r="CQ17" s="170" t="s">
        <v>138</v>
      </c>
    </row>
    <row r="18" spans="1:95" s="95" customFormat="1" ht="15.75">
      <c r="A18" s="76">
        <v>4</v>
      </c>
      <c r="B18" s="76" t="s">
        <v>39</v>
      </c>
      <c r="C18" s="91" t="s">
        <v>48</v>
      </c>
      <c r="D18" s="58"/>
      <c r="E18" s="58"/>
      <c r="F18" s="77" t="s">
        <v>153</v>
      </c>
      <c r="G18" s="77" t="s">
        <v>153</v>
      </c>
      <c r="H18" s="77" t="s">
        <v>153</v>
      </c>
      <c r="I18" s="77" t="s">
        <v>153</v>
      </c>
      <c r="J18" s="77" t="s">
        <v>153</v>
      </c>
      <c r="K18" s="58"/>
      <c r="L18" s="58"/>
      <c r="M18" s="77" t="s">
        <v>153</v>
      </c>
      <c r="N18" s="77" t="s">
        <v>153</v>
      </c>
      <c r="O18" s="77" t="s">
        <v>153</v>
      </c>
      <c r="P18" s="77" t="s">
        <v>153</v>
      </c>
      <c r="Q18" s="77" t="s">
        <v>153</v>
      </c>
      <c r="R18" s="58"/>
      <c r="S18" s="58"/>
      <c r="T18" s="77" t="s">
        <v>153</v>
      </c>
      <c r="U18" s="77" t="s">
        <v>153</v>
      </c>
      <c r="V18" s="77" t="s">
        <v>153</v>
      </c>
      <c r="W18" s="77" t="s">
        <v>153</v>
      </c>
      <c r="X18" s="77" t="s">
        <v>153</v>
      </c>
      <c r="Y18" s="58"/>
      <c r="Z18" s="58"/>
      <c r="AA18" s="77" t="s">
        <v>153</v>
      </c>
      <c r="AB18" s="77" t="s">
        <v>153</v>
      </c>
      <c r="AC18" s="77" t="s">
        <v>153</v>
      </c>
      <c r="AD18" s="77" t="s">
        <v>153</v>
      </c>
      <c r="AE18" s="77" t="s">
        <v>153</v>
      </c>
      <c r="AF18" s="58"/>
      <c r="AG18" s="58"/>
      <c r="AH18" s="77" t="s">
        <v>153</v>
      </c>
      <c r="AI18" s="78">
        <f t="shared" si="18"/>
        <v>21</v>
      </c>
      <c r="AJ18" s="78">
        <v>21</v>
      </c>
      <c r="AL18" s="92">
        <v>4</v>
      </c>
      <c r="AM18" s="80" t="s">
        <v>48</v>
      </c>
      <c r="AN18" s="80" t="s">
        <v>30</v>
      </c>
      <c r="AO18" s="210"/>
      <c r="AP18" s="210"/>
      <c r="AQ18" s="210"/>
      <c r="AR18" s="210"/>
      <c r="AS18" s="210"/>
      <c r="AT18" s="93">
        <f t="shared" si="19"/>
        <v>0</v>
      </c>
      <c r="AU18" s="82">
        <f t="shared" si="20"/>
        <v>21</v>
      </c>
      <c r="AV18" s="77">
        <f t="shared" si="21"/>
        <v>0</v>
      </c>
      <c r="AW18" s="83">
        <f t="shared" si="22"/>
        <v>0</v>
      </c>
      <c r="AX18" s="84">
        <f t="shared" si="23"/>
        <v>0</v>
      </c>
      <c r="AY18" s="84">
        <f t="shared" si="7"/>
        <v>0</v>
      </c>
      <c r="AZ18" s="84">
        <f t="shared" si="8"/>
        <v>0</v>
      </c>
      <c r="BA18" s="214">
        <f t="shared" si="41"/>
        <v>0</v>
      </c>
      <c r="BB18" s="84">
        <f t="shared" ref="BB18:BB31" si="43">SUM(AX18:BA18)</f>
        <v>0</v>
      </c>
      <c r="BC18" s="84">
        <f t="shared" si="24"/>
        <v>0</v>
      </c>
      <c r="BD18" s="77">
        <v>0</v>
      </c>
      <c r="BE18" s="94">
        <f t="shared" si="9"/>
        <v>0</v>
      </c>
      <c r="BF18" s="94"/>
      <c r="BG18" s="212"/>
      <c r="BH18" s="86">
        <v>4</v>
      </c>
      <c r="BI18" s="80" t="s">
        <v>48</v>
      </c>
      <c r="BJ18" s="80" t="s">
        <v>30</v>
      </c>
      <c r="BK18" s="83">
        <f t="shared" si="25"/>
        <v>0</v>
      </c>
      <c r="BL18" s="87">
        <f t="shared" si="26"/>
        <v>0</v>
      </c>
      <c r="BM18" s="87">
        <f t="shared" si="27"/>
        <v>0</v>
      </c>
      <c r="BN18" s="87">
        <f t="shared" si="28"/>
        <v>0</v>
      </c>
      <c r="BO18" s="87">
        <f t="shared" si="29"/>
        <v>0</v>
      </c>
      <c r="BP18" s="87">
        <f t="shared" si="30"/>
        <v>0</v>
      </c>
      <c r="BQ18" s="87">
        <f t="shared" si="31"/>
        <v>0</v>
      </c>
      <c r="BR18" s="223">
        <f t="shared" si="32"/>
        <v>0</v>
      </c>
      <c r="BS18" s="223">
        <f t="shared" si="33"/>
        <v>0</v>
      </c>
      <c r="BT18" s="87">
        <f t="shared" si="34"/>
        <v>0</v>
      </c>
      <c r="BU18" s="87">
        <f t="shared" si="35"/>
        <v>0</v>
      </c>
      <c r="BV18" s="96"/>
      <c r="BX18" s="80" t="s">
        <v>48</v>
      </c>
      <c r="BY18" s="80" t="str">
        <f t="shared" si="36"/>
        <v>Lap trinh vien</v>
      </c>
      <c r="BZ18" s="87">
        <f t="shared" si="10"/>
        <v>0</v>
      </c>
      <c r="CA18" s="87">
        <f t="shared" si="11"/>
        <v>0</v>
      </c>
      <c r="CB18" s="87">
        <f t="shared" si="12"/>
        <v>0</v>
      </c>
      <c r="CC18" s="87">
        <f t="shared" si="13"/>
        <v>0</v>
      </c>
      <c r="CD18" s="87">
        <f t="shared" si="14"/>
        <v>0</v>
      </c>
      <c r="CE18" s="87">
        <f t="shared" si="15"/>
        <v>0</v>
      </c>
      <c r="CF18" s="87">
        <f t="shared" si="37"/>
        <v>21</v>
      </c>
      <c r="CG18" s="77">
        <f t="shared" si="38"/>
        <v>0</v>
      </c>
      <c r="CH18" s="89"/>
      <c r="CI18" s="87">
        <f t="shared" si="16"/>
        <v>0</v>
      </c>
      <c r="CJ18" s="87"/>
      <c r="CK18" s="87">
        <f t="shared" si="39"/>
        <v>0</v>
      </c>
      <c r="CL18" s="87">
        <f t="shared" si="17"/>
        <v>0</v>
      </c>
      <c r="CM18" s="87">
        <f t="shared" si="40"/>
        <v>0</v>
      </c>
      <c r="CN18" s="90">
        <f t="shared" si="42"/>
        <v>0</v>
      </c>
      <c r="CO18" s="97"/>
      <c r="CQ18" s="170" t="s">
        <v>139</v>
      </c>
    </row>
    <row r="19" spans="1:95" s="95" customFormat="1" ht="15.75">
      <c r="A19" s="76">
        <v>5</v>
      </c>
      <c r="B19" s="76" t="s">
        <v>40</v>
      </c>
      <c r="C19" s="91" t="s">
        <v>43</v>
      </c>
      <c r="D19" s="58"/>
      <c r="E19" s="58"/>
      <c r="F19" s="77" t="s">
        <v>153</v>
      </c>
      <c r="G19" s="77" t="s">
        <v>153</v>
      </c>
      <c r="H19" s="77" t="s">
        <v>153</v>
      </c>
      <c r="I19" s="77" t="s">
        <v>153</v>
      </c>
      <c r="J19" s="77" t="s">
        <v>153</v>
      </c>
      <c r="K19" s="58"/>
      <c r="L19" s="58"/>
      <c r="M19" s="77" t="s">
        <v>153</v>
      </c>
      <c r="N19" s="77" t="s">
        <v>153</v>
      </c>
      <c r="O19" s="77" t="s">
        <v>153</v>
      </c>
      <c r="P19" s="77" t="s">
        <v>153</v>
      </c>
      <c r="Q19" s="77" t="s">
        <v>153</v>
      </c>
      <c r="R19" s="58"/>
      <c r="S19" s="58"/>
      <c r="T19" s="77" t="s">
        <v>153</v>
      </c>
      <c r="U19" s="77" t="s">
        <v>153</v>
      </c>
      <c r="V19" s="77" t="s">
        <v>153</v>
      </c>
      <c r="W19" s="77" t="s">
        <v>153</v>
      </c>
      <c r="X19" s="77" t="s">
        <v>153</v>
      </c>
      <c r="Y19" s="58"/>
      <c r="Z19" s="58"/>
      <c r="AA19" s="77" t="s">
        <v>153</v>
      </c>
      <c r="AB19" s="77" t="s">
        <v>153</v>
      </c>
      <c r="AC19" s="77" t="s">
        <v>153</v>
      </c>
      <c r="AD19" s="77" t="s">
        <v>153</v>
      </c>
      <c r="AE19" s="77" t="s">
        <v>153</v>
      </c>
      <c r="AF19" s="58"/>
      <c r="AG19" s="58"/>
      <c r="AH19" s="77" t="s">
        <v>153</v>
      </c>
      <c r="AI19" s="78">
        <f t="shared" si="18"/>
        <v>21</v>
      </c>
      <c r="AJ19" s="78">
        <v>21</v>
      </c>
      <c r="AL19" s="92">
        <v>5</v>
      </c>
      <c r="AM19" s="80" t="s">
        <v>43</v>
      </c>
      <c r="AN19" s="80" t="s">
        <v>30</v>
      </c>
      <c r="AO19" s="210"/>
      <c r="AP19" s="210"/>
      <c r="AQ19" s="210"/>
      <c r="AR19" s="210"/>
      <c r="AS19" s="210"/>
      <c r="AT19" s="93">
        <f t="shared" si="19"/>
        <v>0</v>
      </c>
      <c r="AU19" s="82">
        <f t="shared" si="20"/>
        <v>21</v>
      </c>
      <c r="AV19" s="77">
        <f t="shared" si="21"/>
        <v>0</v>
      </c>
      <c r="AW19" s="83">
        <f t="shared" si="22"/>
        <v>0</v>
      </c>
      <c r="AX19" s="84">
        <f t="shared" si="23"/>
        <v>0</v>
      </c>
      <c r="AY19" s="84">
        <f t="shared" si="7"/>
        <v>0</v>
      </c>
      <c r="AZ19" s="84">
        <f t="shared" si="8"/>
        <v>0</v>
      </c>
      <c r="BA19" s="214">
        <f t="shared" si="41"/>
        <v>0</v>
      </c>
      <c r="BB19" s="84">
        <f t="shared" si="43"/>
        <v>0</v>
      </c>
      <c r="BC19" s="84">
        <f t="shared" si="24"/>
        <v>0</v>
      </c>
      <c r="BD19" s="77">
        <v>0</v>
      </c>
      <c r="BE19" s="94">
        <f t="shared" si="9"/>
        <v>0</v>
      </c>
      <c r="BF19" s="94"/>
      <c r="BG19" s="212"/>
      <c r="BH19" s="86">
        <v>5</v>
      </c>
      <c r="BI19" s="80" t="s">
        <v>43</v>
      </c>
      <c r="BJ19" s="80" t="s">
        <v>30</v>
      </c>
      <c r="BK19" s="83">
        <f t="shared" si="25"/>
        <v>0</v>
      </c>
      <c r="BL19" s="87">
        <f t="shared" si="26"/>
        <v>0</v>
      </c>
      <c r="BM19" s="87">
        <f t="shared" si="27"/>
        <v>0</v>
      </c>
      <c r="BN19" s="87">
        <f t="shared" si="28"/>
        <v>0</v>
      </c>
      <c r="BO19" s="87">
        <f t="shared" si="29"/>
        <v>0</v>
      </c>
      <c r="BP19" s="87">
        <f t="shared" si="30"/>
        <v>0</v>
      </c>
      <c r="BQ19" s="87">
        <f t="shared" si="31"/>
        <v>0</v>
      </c>
      <c r="BR19" s="223">
        <f t="shared" si="32"/>
        <v>0</v>
      </c>
      <c r="BS19" s="223">
        <f t="shared" si="33"/>
        <v>0</v>
      </c>
      <c r="BT19" s="87">
        <f t="shared" si="34"/>
        <v>0</v>
      </c>
      <c r="BU19" s="87">
        <f t="shared" si="35"/>
        <v>0</v>
      </c>
      <c r="BV19" s="96"/>
      <c r="BX19" s="80" t="s">
        <v>43</v>
      </c>
      <c r="BY19" s="80" t="str">
        <f t="shared" si="36"/>
        <v>Lap trinh vien</v>
      </c>
      <c r="BZ19" s="87">
        <f t="shared" si="10"/>
        <v>0</v>
      </c>
      <c r="CA19" s="87">
        <f t="shared" si="11"/>
        <v>0</v>
      </c>
      <c r="CB19" s="87">
        <f t="shared" si="12"/>
        <v>0</v>
      </c>
      <c r="CC19" s="87">
        <f t="shared" si="13"/>
        <v>0</v>
      </c>
      <c r="CD19" s="87">
        <f t="shared" si="14"/>
        <v>0</v>
      </c>
      <c r="CE19" s="87">
        <f t="shared" si="15"/>
        <v>0</v>
      </c>
      <c r="CF19" s="87">
        <f t="shared" si="37"/>
        <v>21</v>
      </c>
      <c r="CG19" s="77">
        <f t="shared" si="38"/>
        <v>0</v>
      </c>
      <c r="CH19" s="89"/>
      <c r="CI19" s="87">
        <f t="shared" si="16"/>
        <v>0</v>
      </c>
      <c r="CJ19" s="87"/>
      <c r="CK19" s="87">
        <f t="shared" si="39"/>
        <v>0</v>
      </c>
      <c r="CL19" s="87">
        <f t="shared" si="17"/>
        <v>0</v>
      </c>
      <c r="CM19" s="87">
        <f t="shared" si="40"/>
        <v>0</v>
      </c>
      <c r="CN19" s="90">
        <f t="shared" si="42"/>
        <v>0</v>
      </c>
      <c r="CO19" s="97"/>
      <c r="CQ19" s="170" t="s">
        <v>140</v>
      </c>
    </row>
    <row r="20" spans="1:95" s="67" customFormat="1" ht="15.75">
      <c r="A20" s="76">
        <v>6</v>
      </c>
      <c r="B20" s="76" t="s">
        <v>41</v>
      </c>
      <c r="C20" s="91" t="s">
        <v>49</v>
      </c>
      <c r="D20" s="58"/>
      <c r="E20" s="58"/>
      <c r="F20" s="77" t="s">
        <v>153</v>
      </c>
      <c r="G20" s="77" t="s">
        <v>153</v>
      </c>
      <c r="H20" s="77" t="s">
        <v>153</v>
      </c>
      <c r="I20" s="77" t="s">
        <v>153</v>
      </c>
      <c r="J20" s="77" t="s">
        <v>153</v>
      </c>
      <c r="K20" s="58"/>
      <c r="L20" s="58"/>
      <c r="M20" s="77" t="s">
        <v>153</v>
      </c>
      <c r="N20" s="77" t="s">
        <v>153</v>
      </c>
      <c r="O20" s="77" t="s">
        <v>153</v>
      </c>
      <c r="P20" s="77" t="s">
        <v>153</v>
      </c>
      <c r="Q20" s="77" t="s">
        <v>153</v>
      </c>
      <c r="R20" s="58"/>
      <c r="S20" s="58"/>
      <c r="T20" s="77" t="s">
        <v>153</v>
      </c>
      <c r="U20" s="77" t="s">
        <v>153</v>
      </c>
      <c r="V20" s="77" t="s">
        <v>153</v>
      </c>
      <c r="W20" s="77" t="s">
        <v>153</v>
      </c>
      <c r="X20" s="77" t="s">
        <v>153</v>
      </c>
      <c r="Y20" s="58"/>
      <c r="Z20" s="58"/>
      <c r="AA20" s="77" t="s">
        <v>153</v>
      </c>
      <c r="AB20" s="77" t="s">
        <v>153</v>
      </c>
      <c r="AC20" s="77" t="s">
        <v>153</v>
      </c>
      <c r="AD20" s="77" t="s">
        <v>153</v>
      </c>
      <c r="AE20" s="77" t="s">
        <v>153</v>
      </c>
      <c r="AF20" s="58"/>
      <c r="AG20" s="58"/>
      <c r="AH20" s="77" t="s">
        <v>153</v>
      </c>
      <c r="AI20" s="78">
        <f t="shared" si="18"/>
        <v>21</v>
      </c>
      <c r="AJ20" s="78">
        <v>21</v>
      </c>
      <c r="AL20" s="92">
        <v>6</v>
      </c>
      <c r="AM20" s="80" t="s">
        <v>49</v>
      </c>
      <c r="AN20" s="80" t="s">
        <v>30</v>
      </c>
      <c r="AO20" s="210"/>
      <c r="AP20" s="210"/>
      <c r="AQ20" s="210"/>
      <c r="AR20" s="210"/>
      <c r="AS20" s="210"/>
      <c r="AT20" s="93">
        <f t="shared" si="19"/>
        <v>0</v>
      </c>
      <c r="AU20" s="82">
        <f t="shared" si="20"/>
        <v>21</v>
      </c>
      <c r="AV20" s="77">
        <f t="shared" si="21"/>
        <v>0</v>
      </c>
      <c r="AW20" s="83">
        <f t="shared" si="22"/>
        <v>0</v>
      </c>
      <c r="AX20" s="84">
        <f t="shared" si="23"/>
        <v>0</v>
      </c>
      <c r="AY20" s="84">
        <f t="shared" si="7"/>
        <v>0</v>
      </c>
      <c r="AZ20" s="84">
        <f t="shared" si="8"/>
        <v>0</v>
      </c>
      <c r="BA20" s="214">
        <f t="shared" si="41"/>
        <v>0</v>
      </c>
      <c r="BB20" s="84">
        <f t="shared" si="43"/>
        <v>0</v>
      </c>
      <c r="BC20" s="84">
        <f t="shared" si="24"/>
        <v>0</v>
      </c>
      <c r="BD20" s="77">
        <v>0</v>
      </c>
      <c r="BE20" s="94">
        <f t="shared" si="9"/>
        <v>0</v>
      </c>
      <c r="BF20" s="94"/>
      <c r="BG20" s="212"/>
      <c r="BH20" s="86">
        <v>6</v>
      </c>
      <c r="BI20" s="80" t="s">
        <v>49</v>
      </c>
      <c r="BJ20" s="80" t="s">
        <v>30</v>
      </c>
      <c r="BK20" s="83">
        <f t="shared" si="25"/>
        <v>0</v>
      </c>
      <c r="BL20" s="87">
        <f t="shared" si="26"/>
        <v>0</v>
      </c>
      <c r="BM20" s="87">
        <f t="shared" si="27"/>
        <v>0</v>
      </c>
      <c r="BN20" s="87">
        <f t="shared" si="28"/>
        <v>0</v>
      </c>
      <c r="BO20" s="87">
        <f t="shared" si="29"/>
        <v>0</v>
      </c>
      <c r="BP20" s="87">
        <f t="shared" si="30"/>
        <v>0</v>
      </c>
      <c r="BQ20" s="87">
        <f t="shared" si="31"/>
        <v>0</v>
      </c>
      <c r="BR20" s="223">
        <f t="shared" si="32"/>
        <v>0</v>
      </c>
      <c r="BS20" s="223">
        <f t="shared" si="33"/>
        <v>0</v>
      </c>
      <c r="BT20" s="87">
        <f t="shared" si="34"/>
        <v>0</v>
      </c>
      <c r="BU20" s="87">
        <f t="shared" si="35"/>
        <v>0</v>
      </c>
      <c r="BV20" s="87"/>
      <c r="BX20" s="80" t="s">
        <v>49</v>
      </c>
      <c r="BY20" s="80" t="str">
        <f t="shared" si="36"/>
        <v>Lap trinh vien</v>
      </c>
      <c r="BZ20" s="87">
        <f t="shared" si="10"/>
        <v>0</v>
      </c>
      <c r="CA20" s="87">
        <f t="shared" si="11"/>
        <v>0</v>
      </c>
      <c r="CB20" s="87">
        <f t="shared" si="12"/>
        <v>0</v>
      </c>
      <c r="CC20" s="87">
        <f t="shared" si="13"/>
        <v>0</v>
      </c>
      <c r="CD20" s="87">
        <f t="shared" si="14"/>
        <v>0</v>
      </c>
      <c r="CE20" s="87">
        <f t="shared" si="15"/>
        <v>0</v>
      </c>
      <c r="CF20" s="87">
        <f t="shared" si="37"/>
        <v>21</v>
      </c>
      <c r="CG20" s="77">
        <f t="shared" si="38"/>
        <v>0</v>
      </c>
      <c r="CH20" s="89"/>
      <c r="CI20" s="87">
        <f t="shared" si="16"/>
        <v>0</v>
      </c>
      <c r="CJ20" s="87"/>
      <c r="CK20" s="87">
        <f t="shared" si="39"/>
        <v>0</v>
      </c>
      <c r="CL20" s="87">
        <f t="shared" si="17"/>
        <v>0</v>
      </c>
      <c r="CM20" s="87">
        <f t="shared" si="40"/>
        <v>0</v>
      </c>
      <c r="CN20" s="90">
        <f t="shared" si="42"/>
        <v>0</v>
      </c>
      <c r="CO20" s="88"/>
      <c r="CQ20" s="170" t="s">
        <v>141</v>
      </c>
    </row>
    <row r="21" spans="1:95" s="67" customFormat="1" ht="15.75">
      <c r="A21" s="76">
        <v>7</v>
      </c>
      <c r="B21" s="76" t="s">
        <v>42</v>
      </c>
      <c r="C21" s="91" t="s">
        <v>50</v>
      </c>
      <c r="D21" s="58"/>
      <c r="E21" s="58"/>
      <c r="F21" s="77" t="s">
        <v>153</v>
      </c>
      <c r="G21" s="77" t="s">
        <v>153</v>
      </c>
      <c r="H21" s="77" t="s">
        <v>153</v>
      </c>
      <c r="I21" s="77" t="s">
        <v>153</v>
      </c>
      <c r="J21" s="77" t="s">
        <v>153</v>
      </c>
      <c r="K21" s="58"/>
      <c r="L21" s="58"/>
      <c r="M21" s="77" t="s">
        <v>153</v>
      </c>
      <c r="N21" s="77" t="s">
        <v>153</v>
      </c>
      <c r="O21" s="77" t="s">
        <v>153</v>
      </c>
      <c r="P21" s="77" t="s">
        <v>153</v>
      </c>
      <c r="Q21" s="77" t="s">
        <v>153</v>
      </c>
      <c r="R21" s="58"/>
      <c r="S21" s="58"/>
      <c r="T21" s="77" t="s">
        <v>153</v>
      </c>
      <c r="U21" s="77" t="s">
        <v>153</v>
      </c>
      <c r="V21" s="77" t="s">
        <v>153</v>
      </c>
      <c r="W21" s="77" t="s">
        <v>153</v>
      </c>
      <c r="X21" s="77" t="s">
        <v>153</v>
      </c>
      <c r="Y21" s="58"/>
      <c r="Z21" s="58"/>
      <c r="AA21" s="77" t="s">
        <v>153</v>
      </c>
      <c r="AB21" s="77" t="s">
        <v>153</v>
      </c>
      <c r="AC21" s="77" t="s">
        <v>153</v>
      </c>
      <c r="AD21" s="77" t="s">
        <v>153</v>
      </c>
      <c r="AE21" s="77" t="s">
        <v>153</v>
      </c>
      <c r="AF21" s="58"/>
      <c r="AG21" s="58"/>
      <c r="AH21" s="77" t="s">
        <v>153</v>
      </c>
      <c r="AI21" s="78">
        <f t="shared" si="18"/>
        <v>21</v>
      </c>
      <c r="AJ21" s="78">
        <v>21</v>
      </c>
      <c r="AL21" s="92">
        <v>7</v>
      </c>
      <c r="AM21" s="80" t="s">
        <v>50</v>
      </c>
      <c r="AN21" s="80" t="s">
        <v>51</v>
      </c>
      <c r="AO21" s="210"/>
      <c r="AP21" s="210"/>
      <c r="AQ21" s="210"/>
      <c r="AR21" s="210"/>
      <c r="AS21" s="210"/>
      <c r="AT21" s="93">
        <f t="shared" si="19"/>
        <v>0</v>
      </c>
      <c r="AU21" s="82">
        <f t="shared" si="20"/>
        <v>21</v>
      </c>
      <c r="AV21" s="77">
        <f t="shared" si="21"/>
        <v>0</v>
      </c>
      <c r="AW21" s="83">
        <f t="shared" si="22"/>
        <v>0</v>
      </c>
      <c r="AX21" s="84">
        <f t="shared" si="23"/>
        <v>0</v>
      </c>
      <c r="AY21" s="84">
        <f t="shared" si="7"/>
        <v>0</v>
      </c>
      <c r="AZ21" s="84">
        <f t="shared" si="8"/>
        <v>0</v>
      </c>
      <c r="BA21" s="214">
        <f t="shared" si="41"/>
        <v>0</v>
      </c>
      <c r="BB21" s="84">
        <f t="shared" si="43"/>
        <v>0</v>
      </c>
      <c r="BC21" s="84">
        <f t="shared" si="24"/>
        <v>0</v>
      </c>
      <c r="BD21" s="77">
        <v>0</v>
      </c>
      <c r="BE21" s="94">
        <f t="shared" si="9"/>
        <v>0</v>
      </c>
      <c r="BF21" s="94"/>
      <c r="BG21" s="212"/>
      <c r="BH21" s="86">
        <v>7</v>
      </c>
      <c r="BI21" s="80" t="s">
        <v>50</v>
      </c>
      <c r="BJ21" s="80" t="s">
        <v>51</v>
      </c>
      <c r="BK21" s="83">
        <f t="shared" si="25"/>
        <v>0</v>
      </c>
      <c r="BL21" s="87">
        <f t="shared" si="26"/>
        <v>0</v>
      </c>
      <c r="BM21" s="87">
        <f t="shared" si="27"/>
        <v>0</v>
      </c>
      <c r="BN21" s="87">
        <f t="shared" si="28"/>
        <v>0</v>
      </c>
      <c r="BO21" s="87">
        <f t="shared" si="29"/>
        <v>0</v>
      </c>
      <c r="BP21" s="87">
        <f t="shared" si="30"/>
        <v>0</v>
      </c>
      <c r="BQ21" s="87">
        <f t="shared" si="31"/>
        <v>0</v>
      </c>
      <c r="BR21" s="223">
        <f t="shared" si="32"/>
        <v>0</v>
      </c>
      <c r="BS21" s="223">
        <f t="shared" si="33"/>
        <v>0</v>
      </c>
      <c r="BT21" s="87">
        <f t="shared" si="34"/>
        <v>0</v>
      </c>
      <c r="BU21" s="87">
        <f t="shared" si="35"/>
        <v>0</v>
      </c>
      <c r="BV21" s="87"/>
      <c r="BX21" s="80" t="s">
        <v>50</v>
      </c>
      <c r="BY21" s="80" t="str">
        <f t="shared" si="36"/>
        <v>Technical Manager</v>
      </c>
      <c r="BZ21" s="87">
        <f t="shared" si="10"/>
        <v>0</v>
      </c>
      <c r="CA21" s="87">
        <f t="shared" si="11"/>
        <v>0</v>
      </c>
      <c r="CB21" s="87">
        <f t="shared" si="12"/>
        <v>0</v>
      </c>
      <c r="CC21" s="87">
        <f t="shared" si="13"/>
        <v>0</v>
      </c>
      <c r="CD21" s="87">
        <f t="shared" si="14"/>
        <v>0</v>
      </c>
      <c r="CE21" s="87">
        <f t="shared" si="15"/>
        <v>0</v>
      </c>
      <c r="CF21" s="87">
        <f t="shared" si="37"/>
        <v>21</v>
      </c>
      <c r="CG21" s="77">
        <f t="shared" si="38"/>
        <v>0</v>
      </c>
      <c r="CH21" s="89"/>
      <c r="CI21" s="87">
        <f t="shared" si="16"/>
        <v>0</v>
      </c>
      <c r="CJ21" s="87"/>
      <c r="CK21" s="87">
        <f t="shared" si="39"/>
        <v>0</v>
      </c>
      <c r="CL21" s="87">
        <f t="shared" si="17"/>
        <v>0</v>
      </c>
      <c r="CM21" s="87">
        <f t="shared" si="40"/>
        <v>0</v>
      </c>
      <c r="CN21" s="90">
        <f t="shared" si="42"/>
        <v>0</v>
      </c>
      <c r="CO21" s="88"/>
      <c r="CQ21" s="170" t="s">
        <v>142</v>
      </c>
    </row>
    <row r="22" spans="1:95" s="67" customFormat="1" ht="15.75">
      <c r="A22" s="76">
        <v>8</v>
      </c>
      <c r="B22" s="76" t="s">
        <v>59</v>
      </c>
      <c r="C22" s="91" t="s">
        <v>54</v>
      </c>
      <c r="D22" s="58"/>
      <c r="E22" s="58"/>
      <c r="F22" s="77" t="s">
        <v>153</v>
      </c>
      <c r="G22" s="77" t="s">
        <v>153</v>
      </c>
      <c r="H22" s="77" t="s">
        <v>153</v>
      </c>
      <c r="I22" s="77" t="s">
        <v>153</v>
      </c>
      <c r="J22" s="77" t="s">
        <v>153</v>
      </c>
      <c r="K22" s="58"/>
      <c r="L22" s="58"/>
      <c r="M22" s="77" t="s">
        <v>153</v>
      </c>
      <c r="N22" s="77" t="s">
        <v>153</v>
      </c>
      <c r="O22" s="77" t="s">
        <v>153</v>
      </c>
      <c r="P22" s="77" t="s">
        <v>153</v>
      </c>
      <c r="Q22" s="77" t="s">
        <v>153</v>
      </c>
      <c r="R22" s="58"/>
      <c r="S22" s="58"/>
      <c r="T22" s="77" t="s">
        <v>153</v>
      </c>
      <c r="U22" s="77" t="s">
        <v>153</v>
      </c>
      <c r="V22" s="77" t="s">
        <v>153</v>
      </c>
      <c r="W22" s="77" t="s">
        <v>153</v>
      </c>
      <c r="X22" s="77" t="s">
        <v>153</v>
      </c>
      <c r="Y22" s="58"/>
      <c r="Z22" s="58"/>
      <c r="AA22" s="77" t="s">
        <v>153</v>
      </c>
      <c r="AB22" s="77" t="s">
        <v>153</v>
      </c>
      <c r="AC22" s="77" t="s">
        <v>153</v>
      </c>
      <c r="AD22" s="77" t="s">
        <v>153</v>
      </c>
      <c r="AE22" s="77" t="s">
        <v>153</v>
      </c>
      <c r="AF22" s="58"/>
      <c r="AG22" s="58"/>
      <c r="AH22" s="77" t="s">
        <v>153</v>
      </c>
      <c r="AI22" s="78">
        <f t="shared" si="18"/>
        <v>21</v>
      </c>
      <c r="AJ22" s="78">
        <v>21</v>
      </c>
      <c r="AL22" s="92">
        <v>8</v>
      </c>
      <c r="AM22" s="80" t="s">
        <v>54</v>
      </c>
      <c r="AN22" s="80" t="s">
        <v>30</v>
      </c>
      <c r="AO22" s="210"/>
      <c r="AP22" s="210"/>
      <c r="AQ22" s="210"/>
      <c r="AR22" s="210"/>
      <c r="AS22" s="210"/>
      <c r="AT22" s="93">
        <f t="shared" si="19"/>
        <v>0</v>
      </c>
      <c r="AU22" s="82">
        <f t="shared" si="20"/>
        <v>21</v>
      </c>
      <c r="AV22" s="77">
        <f t="shared" si="21"/>
        <v>0</v>
      </c>
      <c r="AW22" s="83">
        <f t="shared" si="22"/>
        <v>0</v>
      </c>
      <c r="AX22" s="84">
        <f t="shared" si="23"/>
        <v>0</v>
      </c>
      <c r="AY22" s="84">
        <f t="shared" si="7"/>
        <v>0</v>
      </c>
      <c r="AZ22" s="84">
        <f t="shared" si="8"/>
        <v>0</v>
      </c>
      <c r="BA22" s="214">
        <f t="shared" si="41"/>
        <v>0</v>
      </c>
      <c r="BB22" s="84">
        <f t="shared" si="43"/>
        <v>0</v>
      </c>
      <c r="BC22" s="84">
        <f t="shared" si="24"/>
        <v>0</v>
      </c>
      <c r="BD22" s="77">
        <v>0</v>
      </c>
      <c r="BE22" s="94">
        <f t="shared" si="9"/>
        <v>0</v>
      </c>
      <c r="BF22" s="94"/>
      <c r="BG22" s="212"/>
      <c r="BH22" s="86">
        <v>8</v>
      </c>
      <c r="BI22" s="80" t="s">
        <v>54</v>
      </c>
      <c r="BJ22" s="80" t="s">
        <v>30</v>
      </c>
      <c r="BK22" s="83">
        <f t="shared" si="25"/>
        <v>0</v>
      </c>
      <c r="BL22" s="87">
        <f t="shared" si="26"/>
        <v>0</v>
      </c>
      <c r="BM22" s="87">
        <f t="shared" si="27"/>
        <v>0</v>
      </c>
      <c r="BN22" s="87">
        <f t="shared" si="28"/>
        <v>0</v>
      </c>
      <c r="BO22" s="87">
        <f t="shared" si="29"/>
        <v>0</v>
      </c>
      <c r="BP22" s="87">
        <f t="shared" si="30"/>
        <v>0</v>
      </c>
      <c r="BQ22" s="87">
        <f t="shared" si="31"/>
        <v>0</v>
      </c>
      <c r="BR22" s="223">
        <f t="shared" si="32"/>
        <v>0</v>
      </c>
      <c r="BS22" s="223">
        <f t="shared" si="33"/>
        <v>0</v>
      </c>
      <c r="BT22" s="87">
        <f t="shared" si="34"/>
        <v>0</v>
      </c>
      <c r="BU22" s="87">
        <f t="shared" si="35"/>
        <v>0</v>
      </c>
      <c r="BV22" s="87"/>
      <c r="BX22" s="80" t="s">
        <v>54</v>
      </c>
      <c r="BY22" s="80" t="s">
        <v>30</v>
      </c>
      <c r="BZ22" s="87">
        <f t="shared" si="10"/>
        <v>0</v>
      </c>
      <c r="CA22" s="87">
        <f t="shared" si="11"/>
        <v>0</v>
      </c>
      <c r="CB22" s="87">
        <f t="shared" si="12"/>
        <v>0</v>
      </c>
      <c r="CC22" s="87">
        <f t="shared" si="13"/>
        <v>0</v>
      </c>
      <c r="CD22" s="87">
        <f t="shared" si="14"/>
        <v>0</v>
      </c>
      <c r="CE22" s="87">
        <f t="shared" si="15"/>
        <v>0</v>
      </c>
      <c r="CF22" s="87">
        <f t="shared" si="37"/>
        <v>21</v>
      </c>
      <c r="CG22" s="77">
        <f t="shared" si="38"/>
        <v>0</v>
      </c>
      <c r="CH22" s="89"/>
      <c r="CI22" s="87">
        <f t="shared" si="16"/>
        <v>0</v>
      </c>
      <c r="CJ22" s="87"/>
      <c r="CK22" s="87">
        <f t="shared" si="39"/>
        <v>0</v>
      </c>
      <c r="CL22" s="87">
        <f t="shared" si="17"/>
        <v>0</v>
      </c>
      <c r="CM22" s="87">
        <f t="shared" si="40"/>
        <v>0</v>
      </c>
      <c r="CN22" s="90">
        <f t="shared" si="42"/>
        <v>0</v>
      </c>
      <c r="CO22" s="88"/>
      <c r="CQ22" s="170" t="s">
        <v>144</v>
      </c>
    </row>
    <row r="23" spans="1:95" s="67" customFormat="1" ht="15.75">
      <c r="A23" s="76">
        <v>9</v>
      </c>
      <c r="B23" s="76" t="s">
        <v>61</v>
      </c>
      <c r="C23" s="91" t="s">
        <v>60</v>
      </c>
      <c r="D23" s="58"/>
      <c r="E23" s="58"/>
      <c r="F23" s="77" t="s">
        <v>153</v>
      </c>
      <c r="G23" s="77" t="s">
        <v>153</v>
      </c>
      <c r="H23" s="77" t="s">
        <v>153</v>
      </c>
      <c r="I23" s="77" t="s">
        <v>153</v>
      </c>
      <c r="J23" s="77" t="s">
        <v>153</v>
      </c>
      <c r="K23" s="58"/>
      <c r="L23" s="58"/>
      <c r="M23" s="77" t="s">
        <v>153</v>
      </c>
      <c r="N23" s="77" t="s">
        <v>153</v>
      </c>
      <c r="O23" s="77" t="s">
        <v>153</v>
      </c>
      <c r="P23" s="77" t="s">
        <v>153</v>
      </c>
      <c r="Q23" s="77" t="s">
        <v>153</v>
      </c>
      <c r="R23" s="58"/>
      <c r="S23" s="58"/>
      <c r="T23" s="77" t="s">
        <v>153</v>
      </c>
      <c r="U23" s="77" t="s">
        <v>153</v>
      </c>
      <c r="V23" s="77" t="s">
        <v>153</v>
      </c>
      <c r="W23" s="77" t="s">
        <v>153</v>
      </c>
      <c r="X23" s="77" t="s">
        <v>153</v>
      </c>
      <c r="Y23" s="58"/>
      <c r="Z23" s="58"/>
      <c r="AA23" s="77" t="s">
        <v>153</v>
      </c>
      <c r="AB23" s="77" t="s">
        <v>153</v>
      </c>
      <c r="AC23" s="77" t="s">
        <v>153</v>
      </c>
      <c r="AD23" s="77" t="s">
        <v>153</v>
      </c>
      <c r="AE23" s="77" t="s">
        <v>153</v>
      </c>
      <c r="AF23" s="58"/>
      <c r="AG23" s="58"/>
      <c r="AH23" s="77" t="s">
        <v>153</v>
      </c>
      <c r="AI23" s="78">
        <f t="shared" si="18"/>
        <v>21</v>
      </c>
      <c r="AJ23" s="78">
        <v>21</v>
      </c>
      <c r="AL23" s="92">
        <v>9</v>
      </c>
      <c r="AM23" s="80" t="s">
        <v>60</v>
      </c>
      <c r="AN23" s="80" t="s">
        <v>30</v>
      </c>
      <c r="AO23" s="210"/>
      <c r="AP23" s="210"/>
      <c r="AQ23" s="210"/>
      <c r="AR23" s="210"/>
      <c r="AS23" s="210"/>
      <c r="AT23" s="93">
        <f t="shared" si="19"/>
        <v>0</v>
      </c>
      <c r="AU23" s="82">
        <f t="shared" si="20"/>
        <v>21</v>
      </c>
      <c r="AV23" s="77">
        <f t="shared" si="21"/>
        <v>0</v>
      </c>
      <c r="AW23" s="83">
        <f t="shared" si="22"/>
        <v>0</v>
      </c>
      <c r="AX23" s="84">
        <f t="shared" si="23"/>
        <v>0</v>
      </c>
      <c r="AY23" s="84">
        <f t="shared" si="7"/>
        <v>0</v>
      </c>
      <c r="AZ23" s="84">
        <f t="shared" si="8"/>
        <v>0</v>
      </c>
      <c r="BA23" s="214">
        <f t="shared" si="41"/>
        <v>0</v>
      </c>
      <c r="BB23" s="84">
        <f t="shared" si="43"/>
        <v>0</v>
      </c>
      <c r="BC23" s="84">
        <f t="shared" si="24"/>
        <v>0</v>
      </c>
      <c r="BD23" s="77">
        <v>0</v>
      </c>
      <c r="BE23" s="94">
        <f t="shared" si="9"/>
        <v>0</v>
      </c>
      <c r="BF23" s="94"/>
      <c r="BG23" s="212"/>
      <c r="BH23" s="86">
        <v>9</v>
      </c>
      <c r="BI23" s="80" t="s">
        <v>60</v>
      </c>
      <c r="BJ23" s="80" t="s">
        <v>30</v>
      </c>
      <c r="BK23" s="83">
        <f t="shared" si="25"/>
        <v>0</v>
      </c>
      <c r="BL23" s="87">
        <f t="shared" si="26"/>
        <v>0</v>
      </c>
      <c r="BM23" s="87">
        <f t="shared" si="27"/>
        <v>0</v>
      </c>
      <c r="BN23" s="87">
        <f t="shared" si="28"/>
        <v>0</v>
      </c>
      <c r="BO23" s="87">
        <f t="shared" si="29"/>
        <v>0</v>
      </c>
      <c r="BP23" s="87">
        <f t="shared" si="30"/>
        <v>0</v>
      </c>
      <c r="BQ23" s="87">
        <f t="shared" si="31"/>
        <v>0</v>
      </c>
      <c r="BR23" s="223">
        <f t="shared" si="32"/>
        <v>0</v>
      </c>
      <c r="BS23" s="223">
        <f t="shared" si="33"/>
        <v>0</v>
      </c>
      <c r="BT23" s="87">
        <f t="shared" si="34"/>
        <v>0</v>
      </c>
      <c r="BU23" s="87">
        <f t="shared" si="35"/>
        <v>0</v>
      </c>
      <c r="BV23" s="87"/>
      <c r="BX23" s="80" t="s">
        <v>60</v>
      </c>
      <c r="BY23" s="80" t="s">
        <v>30</v>
      </c>
      <c r="BZ23" s="87">
        <f t="shared" si="10"/>
        <v>0</v>
      </c>
      <c r="CA23" s="87">
        <f t="shared" si="11"/>
        <v>0</v>
      </c>
      <c r="CB23" s="87">
        <f t="shared" si="12"/>
        <v>0</v>
      </c>
      <c r="CC23" s="87">
        <f t="shared" si="13"/>
        <v>0</v>
      </c>
      <c r="CD23" s="87">
        <f t="shared" si="14"/>
        <v>0</v>
      </c>
      <c r="CE23" s="87">
        <f t="shared" si="15"/>
        <v>0</v>
      </c>
      <c r="CF23" s="87">
        <f t="shared" si="37"/>
        <v>21</v>
      </c>
      <c r="CG23" s="77">
        <f t="shared" si="38"/>
        <v>0</v>
      </c>
      <c r="CH23" s="89"/>
      <c r="CI23" s="87">
        <f t="shared" si="16"/>
        <v>0</v>
      </c>
      <c r="CJ23" s="87"/>
      <c r="CK23" s="87">
        <f t="shared" si="39"/>
        <v>0</v>
      </c>
      <c r="CL23" s="87">
        <f t="shared" si="17"/>
        <v>0</v>
      </c>
      <c r="CM23" s="87">
        <f t="shared" si="40"/>
        <v>0</v>
      </c>
      <c r="CN23" s="90">
        <f t="shared" si="42"/>
        <v>0</v>
      </c>
      <c r="CO23" s="88"/>
      <c r="CQ23" s="170" t="s">
        <v>148</v>
      </c>
    </row>
    <row r="24" spans="1:95" s="67" customFormat="1" ht="15.75">
      <c r="A24" s="76">
        <v>10</v>
      </c>
      <c r="B24" s="76" t="s">
        <v>65</v>
      </c>
      <c r="C24" s="91" t="s">
        <v>62</v>
      </c>
      <c r="D24" s="58"/>
      <c r="E24" s="58"/>
      <c r="F24" s="77" t="s">
        <v>153</v>
      </c>
      <c r="G24" s="77" t="s">
        <v>153</v>
      </c>
      <c r="H24" s="77" t="s">
        <v>153</v>
      </c>
      <c r="I24" s="77" t="s">
        <v>153</v>
      </c>
      <c r="J24" s="77" t="s">
        <v>153</v>
      </c>
      <c r="K24" s="58"/>
      <c r="L24" s="58"/>
      <c r="M24" s="77" t="s">
        <v>153</v>
      </c>
      <c r="N24" s="77" t="s">
        <v>153</v>
      </c>
      <c r="O24" s="77" t="s">
        <v>153</v>
      </c>
      <c r="P24" s="77" t="s">
        <v>153</v>
      </c>
      <c r="Q24" s="77" t="s">
        <v>153</v>
      </c>
      <c r="R24" s="58"/>
      <c r="S24" s="58"/>
      <c r="T24" s="77" t="s">
        <v>153</v>
      </c>
      <c r="U24" s="77" t="s">
        <v>153</v>
      </c>
      <c r="V24" s="77" t="s">
        <v>153</v>
      </c>
      <c r="W24" s="77" t="s">
        <v>153</v>
      </c>
      <c r="X24" s="77" t="s">
        <v>153</v>
      </c>
      <c r="Y24" s="58"/>
      <c r="Z24" s="58"/>
      <c r="AA24" s="77" t="s">
        <v>153</v>
      </c>
      <c r="AB24" s="77" t="s">
        <v>153</v>
      </c>
      <c r="AC24" s="77" t="s">
        <v>153</v>
      </c>
      <c r="AD24" s="77" t="s">
        <v>153</v>
      </c>
      <c r="AE24" s="77" t="s">
        <v>153</v>
      </c>
      <c r="AF24" s="58"/>
      <c r="AG24" s="58"/>
      <c r="AH24" s="77" t="s">
        <v>153</v>
      </c>
      <c r="AI24" s="78">
        <f t="shared" si="18"/>
        <v>21</v>
      </c>
      <c r="AJ24" s="78">
        <v>21</v>
      </c>
      <c r="AL24" s="92">
        <v>10</v>
      </c>
      <c r="AM24" s="80" t="s">
        <v>62</v>
      </c>
      <c r="AN24" s="80" t="s">
        <v>30</v>
      </c>
      <c r="AO24" s="210">
        <v>5000000</v>
      </c>
      <c r="AP24" s="210">
        <v>680000</v>
      </c>
      <c r="AQ24" s="210">
        <v>300000</v>
      </c>
      <c r="AR24" s="210">
        <v>10820000</v>
      </c>
      <c r="AS24" s="210">
        <v>200000</v>
      </c>
      <c r="AT24" s="93">
        <f t="shared" si="19"/>
        <v>17000000</v>
      </c>
      <c r="AU24" s="82">
        <f t="shared" si="20"/>
        <v>21</v>
      </c>
      <c r="AV24" s="77">
        <f t="shared" si="21"/>
        <v>17000000</v>
      </c>
      <c r="AW24" s="83">
        <f t="shared" si="22"/>
        <v>5000000</v>
      </c>
      <c r="AX24" s="84">
        <f t="shared" si="23"/>
        <v>400000</v>
      </c>
      <c r="AY24" s="84">
        <f t="shared" si="7"/>
        <v>75000</v>
      </c>
      <c r="AZ24" s="84">
        <f t="shared" si="8"/>
        <v>50000</v>
      </c>
      <c r="BA24" s="214">
        <f t="shared" si="41"/>
        <v>50000</v>
      </c>
      <c r="BB24" s="84">
        <f t="shared" si="43"/>
        <v>575000</v>
      </c>
      <c r="BC24" s="84">
        <f t="shared" si="24"/>
        <v>227250</v>
      </c>
      <c r="BD24" s="77">
        <v>0</v>
      </c>
      <c r="BE24" s="94">
        <f t="shared" si="9"/>
        <v>16197750</v>
      </c>
      <c r="BF24" s="94"/>
      <c r="BG24" s="212"/>
      <c r="BH24" s="86">
        <v>10</v>
      </c>
      <c r="BI24" s="80" t="s">
        <v>62</v>
      </c>
      <c r="BJ24" s="80" t="s">
        <v>30</v>
      </c>
      <c r="BK24" s="83">
        <f t="shared" si="25"/>
        <v>5000000</v>
      </c>
      <c r="BL24" s="87">
        <f t="shared" si="26"/>
        <v>150000</v>
      </c>
      <c r="BM24" s="87">
        <f t="shared" si="27"/>
        <v>75000</v>
      </c>
      <c r="BN24" s="87">
        <f t="shared" si="28"/>
        <v>50000</v>
      </c>
      <c r="BO24" s="87">
        <f t="shared" si="29"/>
        <v>50000</v>
      </c>
      <c r="BP24" s="87">
        <f t="shared" si="30"/>
        <v>875000</v>
      </c>
      <c r="BQ24" s="87">
        <f t="shared" si="31"/>
        <v>400000</v>
      </c>
      <c r="BR24" s="217">
        <f t="shared" si="32"/>
        <v>100000</v>
      </c>
      <c r="BS24" s="217">
        <f t="shared" si="33"/>
        <v>50000</v>
      </c>
      <c r="BT24" s="87">
        <f t="shared" si="34"/>
        <v>1175000</v>
      </c>
      <c r="BU24" s="87">
        <f t="shared" si="35"/>
        <v>575000</v>
      </c>
      <c r="BV24" s="87"/>
      <c r="BX24" s="80" t="s">
        <v>62</v>
      </c>
      <c r="BY24" s="80" t="s">
        <v>30</v>
      </c>
      <c r="BZ24" s="87">
        <f t="shared" si="10"/>
        <v>5000000</v>
      </c>
      <c r="CA24" s="87">
        <f t="shared" si="11"/>
        <v>680000</v>
      </c>
      <c r="CB24" s="87">
        <f t="shared" si="12"/>
        <v>300000</v>
      </c>
      <c r="CC24" s="87">
        <f t="shared" si="13"/>
        <v>10820000</v>
      </c>
      <c r="CD24" s="87">
        <f t="shared" si="14"/>
        <v>200000</v>
      </c>
      <c r="CE24" s="87">
        <f t="shared" si="15"/>
        <v>17000000</v>
      </c>
      <c r="CF24" s="87">
        <f t="shared" si="37"/>
        <v>21</v>
      </c>
      <c r="CG24" s="77">
        <f t="shared" si="38"/>
        <v>16120000</v>
      </c>
      <c r="CH24" s="89">
        <v>0</v>
      </c>
      <c r="CI24" s="87">
        <f t="shared" si="16"/>
        <v>0</v>
      </c>
      <c r="CJ24" s="87">
        <v>11000000</v>
      </c>
      <c r="CK24" s="87">
        <f t="shared" si="39"/>
        <v>575000</v>
      </c>
      <c r="CL24" s="87">
        <f t="shared" si="17"/>
        <v>11575000</v>
      </c>
      <c r="CM24" s="87">
        <f t="shared" si="40"/>
        <v>4545000</v>
      </c>
      <c r="CN24" s="90">
        <f t="shared" si="42"/>
        <v>227250</v>
      </c>
      <c r="CO24" s="88"/>
      <c r="CQ24" s="170" t="s">
        <v>149</v>
      </c>
    </row>
    <row r="25" spans="1:95" s="67" customFormat="1" ht="15.75">
      <c r="A25" s="76">
        <v>11</v>
      </c>
      <c r="B25" s="76" t="s">
        <v>68</v>
      </c>
      <c r="C25" s="91" t="s">
        <v>63</v>
      </c>
      <c r="D25" s="58"/>
      <c r="E25" s="58"/>
      <c r="F25" s="77" t="s">
        <v>153</v>
      </c>
      <c r="G25" s="77" t="s">
        <v>153</v>
      </c>
      <c r="H25" s="77" t="s">
        <v>153</v>
      </c>
      <c r="I25" s="77" t="s">
        <v>153</v>
      </c>
      <c r="J25" s="77" t="s">
        <v>153</v>
      </c>
      <c r="K25" s="58"/>
      <c r="L25" s="58"/>
      <c r="M25" s="77" t="s">
        <v>153</v>
      </c>
      <c r="N25" s="77" t="s">
        <v>153</v>
      </c>
      <c r="O25" s="77" t="s">
        <v>153</v>
      </c>
      <c r="P25" s="77" t="s">
        <v>153</v>
      </c>
      <c r="Q25" s="77" t="s">
        <v>153</v>
      </c>
      <c r="R25" s="58"/>
      <c r="S25" s="58"/>
      <c r="T25" s="77" t="s">
        <v>153</v>
      </c>
      <c r="U25" s="77" t="s">
        <v>153</v>
      </c>
      <c r="V25" s="77" t="s">
        <v>153</v>
      </c>
      <c r="W25" s="77" t="s">
        <v>153</v>
      </c>
      <c r="X25" s="77" t="s">
        <v>153</v>
      </c>
      <c r="Y25" s="58"/>
      <c r="Z25" s="58"/>
      <c r="AA25" s="77" t="s">
        <v>153</v>
      </c>
      <c r="AB25" s="77" t="s">
        <v>153</v>
      </c>
      <c r="AC25" s="77" t="s">
        <v>153</v>
      </c>
      <c r="AD25" s="77" t="s">
        <v>153</v>
      </c>
      <c r="AE25" s="77" t="s">
        <v>153</v>
      </c>
      <c r="AF25" s="58"/>
      <c r="AG25" s="58"/>
      <c r="AH25" s="77" t="s">
        <v>153</v>
      </c>
      <c r="AI25" s="78">
        <f t="shared" si="18"/>
        <v>21</v>
      </c>
      <c r="AJ25" s="78">
        <v>21</v>
      </c>
      <c r="AL25" s="92">
        <v>11</v>
      </c>
      <c r="AM25" s="80" t="s">
        <v>63</v>
      </c>
      <c r="AN25" s="80" t="s">
        <v>30</v>
      </c>
      <c r="AO25" s="210"/>
      <c r="AP25" s="210"/>
      <c r="AQ25" s="210"/>
      <c r="AR25" s="210"/>
      <c r="AS25" s="210"/>
      <c r="AT25" s="93">
        <f t="shared" si="19"/>
        <v>0</v>
      </c>
      <c r="AU25" s="82">
        <f t="shared" si="20"/>
        <v>21</v>
      </c>
      <c r="AV25" s="77">
        <f t="shared" si="21"/>
        <v>0</v>
      </c>
      <c r="AW25" s="83">
        <f t="shared" si="22"/>
        <v>0</v>
      </c>
      <c r="AX25" s="84">
        <f t="shared" si="23"/>
        <v>0</v>
      </c>
      <c r="AY25" s="84">
        <f t="shared" si="7"/>
        <v>0</v>
      </c>
      <c r="AZ25" s="84">
        <f t="shared" si="8"/>
        <v>0</v>
      </c>
      <c r="BA25" s="214">
        <f t="shared" si="41"/>
        <v>0</v>
      </c>
      <c r="BB25" s="84">
        <f t="shared" si="43"/>
        <v>0</v>
      </c>
      <c r="BC25" s="84">
        <f t="shared" si="24"/>
        <v>0</v>
      </c>
      <c r="BD25" s="77">
        <v>0</v>
      </c>
      <c r="BE25" s="94">
        <f t="shared" si="9"/>
        <v>0</v>
      </c>
      <c r="BF25" s="94"/>
      <c r="BG25" s="212"/>
      <c r="BH25" s="86">
        <v>11</v>
      </c>
      <c r="BI25" s="80" t="s">
        <v>63</v>
      </c>
      <c r="BJ25" s="80" t="s">
        <v>30</v>
      </c>
      <c r="BK25" s="83">
        <f t="shared" si="25"/>
        <v>0</v>
      </c>
      <c r="BL25" s="87">
        <f t="shared" si="26"/>
        <v>0</v>
      </c>
      <c r="BM25" s="87">
        <f t="shared" si="27"/>
        <v>0</v>
      </c>
      <c r="BN25" s="87">
        <f t="shared" si="28"/>
        <v>0</v>
      </c>
      <c r="BO25" s="87">
        <f t="shared" si="29"/>
        <v>0</v>
      </c>
      <c r="BP25" s="87">
        <f t="shared" si="30"/>
        <v>0</v>
      </c>
      <c r="BQ25" s="87">
        <f t="shared" si="31"/>
        <v>0</v>
      </c>
      <c r="BR25" s="223">
        <f t="shared" si="32"/>
        <v>0</v>
      </c>
      <c r="BS25" s="223">
        <f t="shared" si="33"/>
        <v>0</v>
      </c>
      <c r="BT25" s="87">
        <f t="shared" si="34"/>
        <v>0</v>
      </c>
      <c r="BU25" s="87">
        <f t="shared" si="35"/>
        <v>0</v>
      </c>
      <c r="BV25" s="87"/>
      <c r="BX25" s="80" t="s">
        <v>63</v>
      </c>
      <c r="BY25" s="80" t="s">
        <v>30</v>
      </c>
      <c r="BZ25" s="87">
        <f t="shared" si="10"/>
        <v>0</v>
      </c>
      <c r="CA25" s="87">
        <f t="shared" si="11"/>
        <v>0</v>
      </c>
      <c r="CB25" s="87">
        <f t="shared" si="12"/>
        <v>0</v>
      </c>
      <c r="CC25" s="87">
        <f t="shared" si="13"/>
        <v>0</v>
      </c>
      <c r="CD25" s="87">
        <f t="shared" si="14"/>
        <v>0</v>
      </c>
      <c r="CE25" s="87">
        <f t="shared" si="15"/>
        <v>0</v>
      </c>
      <c r="CF25" s="87">
        <f t="shared" si="37"/>
        <v>21</v>
      </c>
      <c r="CG25" s="77">
        <f t="shared" si="38"/>
        <v>0</v>
      </c>
      <c r="CH25" s="89"/>
      <c r="CI25" s="87">
        <f t="shared" si="16"/>
        <v>0</v>
      </c>
      <c r="CJ25" s="87"/>
      <c r="CK25" s="87">
        <f t="shared" si="39"/>
        <v>0</v>
      </c>
      <c r="CL25" s="87">
        <f t="shared" si="17"/>
        <v>0</v>
      </c>
      <c r="CM25" s="87">
        <f t="shared" si="40"/>
        <v>0</v>
      </c>
      <c r="CN25" s="90">
        <f t="shared" si="42"/>
        <v>0</v>
      </c>
      <c r="CO25" s="88"/>
      <c r="CQ25" s="170" t="s">
        <v>150</v>
      </c>
    </row>
    <row r="26" spans="1:95" s="67" customFormat="1" ht="15.75">
      <c r="A26" s="76">
        <v>12</v>
      </c>
      <c r="B26" s="76" t="s">
        <v>69</v>
      </c>
      <c r="C26" s="91" t="s">
        <v>64</v>
      </c>
      <c r="D26" s="58"/>
      <c r="E26" s="58"/>
      <c r="F26" s="77" t="s">
        <v>153</v>
      </c>
      <c r="G26" s="77" t="s">
        <v>153</v>
      </c>
      <c r="H26" s="77" t="s">
        <v>153</v>
      </c>
      <c r="I26" s="77" t="s">
        <v>153</v>
      </c>
      <c r="J26" s="77" t="s">
        <v>153</v>
      </c>
      <c r="K26" s="58"/>
      <c r="L26" s="58"/>
      <c r="M26" s="77" t="s">
        <v>153</v>
      </c>
      <c r="N26" s="77" t="s">
        <v>153</v>
      </c>
      <c r="O26" s="77" t="s">
        <v>153</v>
      </c>
      <c r="P26" s="77" t="s">
        <v>153</v>
      </c>
      <c r="Q26" s="77" t="s">
        <v>153</v>
      </c>
      <c r="R26" s="58"/>
      <c r="S26" s="58"/>
      <c r="T26" s="77" t="s">
        <v>153</v>
      </c>
      <c r="U26" s="77" t="s">
        <v>153</v>
      </c>
      <c r="V26" s="77" t="s">
        <v>153</v>
      </c>
      <c r="W26" s="77" t="s">
        <v>153</v>
      </c>
      <c r="X26" s="77" t="s">
        <v>153</v>
      </c>
      <c r="Y26" s="58"/>
      <c r="Z26" s="58"/>
      <c r="AA26" s="77" t="s">
        <v>153</v>
      </c>
      <c r="AB26" s="77" t="s">
        <v>153</v>
      </c>
      <c r="AC26" s="77" t="s">
        <v>153</v>
      </c>
      <c r="AD26" s="77" t="s">
        <v>153</v>
      </c>
      <c r="AE26" s="77" t="s">
        <v>153</v>
      </c>
      <c r="AF26" s="58"/>
      <c r="AG26" s="58"/>
      <c r="AH26" s="77" t="s">
        <v>153</v>
      </c>
      <c r="AI26" s="78">
        <f t="shared" si="18"/>
        <v>21</v>
      </c>
      <c r="AJ26" s="78">
        <v>21</v>
      </c>
      <c r="AL26" s="92">
        <v>12</v>
      </c>
      <c r="AM26" s="80" t="s">
        <v>64</v>
      </c>
      <c r="AN26" s="80" t="s">
        <v>30</v>
      </c>
      <c r="AO26" s="210"/>
      <c r="AP26" s="210"/>
      <c r="AQ26" s="210"/>
      <c r="AR26" s="210"/>
      <c r="AS26" s="210"/>
      <c r="AT26" s="93">
        <f t="shared" si="19"/>
        <v>0</v>
      </c>
      <c r="AU26" s="82">
        <f t="shared" si="20"/>
        <v>21</v>
      </c>
      <c r="AV26" s="77">
        <f t="shared" si="21"/>
        <v>0</v>
      </c>
      <c r="AW26" s="83">
        <f t="shared" si="22"/>
        <v>0</v>
      </c>
      <c r="AX26" s="84">
        <f t="shared" si="23"/>
        <v>0</v>
      </c>
      <c r="AY26" s="84">
        <f t="shared" si="7"/>
        <v>0</v>
      </c>
      <c r="AZ26" s="84">
        <f t="shared" si="8"/>
        <v>0</v>
      </c>
      <c r="BA26" s="214">
        <f t="shared" si="41"/>
        <v>0</v>
      </c>
      <c r="BB26" s="84">
        <f t="shared" si="43"/>
        <v>0</v>
      </c>
      <c r="BC26" s="84">
        <f t="shared" si="24"/>
        <v>0</v>
      </c>
      <c r="BD26" s="77">
        <v>0</v>
      </c>
      <c r="BE26" s="94">
        <f t="shared" si="9"/>
        <v>0</v>
      </c>
      <c r="BF26" s="94"/>
      <c r="BG26" s="212"/>
      <c r="BH26" s="86">
        <v>12</v>
      </c>
      <c r="BI26" s="80" t="s">
        <v>64</v>
      </c>
      <c r="BJ26" s="80" t="s">
        <v>30</v>
      </c>
      <c r="BK26" s="83">
        <f t="shared" si="25"/>
        <v>0</v>
      </c>
      <c r="BL26" s="87">
        <f t="shared" si="26"/>
        <v>0</v>
      </c>
      <c r="BM26" s="87">
        <f t="shared" si="27"/>
        <v>0</v>
      </c>
      <c r="BN26" s="87">
        <f t="shared" si="28"/>
        <v>0</v>
      </c>
      <c r="BO26" s="87">
        <f t="shared" si="29"/>
        <v>0</v>
      </c>
      <c r="BP26" s="87">
        <f t="shared" si="30"/>
        <v>0</v>
      </c>
      <c r="BQ26" s="87">
        <f t="shared" si="31"/>
        <v>0</v>
      </c>
      <c r="BR26" s="223">
        <f t="shared" si="32"/>
        <v>0</v>
      </c>
      <c r="BS26" s="223">
        <f t="shared" si="33"/>
        <v>0</v>
      </c>
      <c r="BT26" s="87">
        <f t="shared" si="34"/>
        <v>0</v>
      </c>
      <c r="BU26" s="87">
        <f t="shared" si="35"/>
        <v>0</v>
      </c>
      <c r="BV26" s="87"/>
      <c r="BX26" s="80" t="s">
        <v>64</v>
      </c>
      <c r="BY26" s="80" t="s">
        <v>30</v>
      </c>
      <c r="BZ26" s="87">
        <f t="shared" si="10"/>
        <v>0</v>
      </c>
      <c r="CA26" s="87">
        <f t="shared" si="11"/>
        <v>0</v>
      </c>
      <c r="CB26" s="87">
        <f t="shared" si="12"/>
        <v>0</v>
      </c>
      <c r="CC26" s="87">
        <f t="shared" si="13"/>
        <v>0</v>
      </c>
      <c r="CD26" s="87">
        <f t="shared" si="14"/>
        <v>0</v>
      </c>
      <c r="CE26" s="87">
        <f t="shared" si="15"/>
        <v>0</v>
      </c>
      <c r="CF26" s="87">
        <f t="shared" si="37"/>
        <v>21</v>
      </c>
      <c r="CG26" s="77">
        <f t="shared" si="38"/>
        <v>0</v>
      </c>
      <c r="CH26" s="89"/>
      <c r="CI26" s="87">
        <f t="shared" si="16"/>
        <v>0</v>
      </c>
      <c r="CJ26" s="87"/>
      <c r="CK26" s="87">
        <f t="shared" si="39"/>
        <v>0</v>
      </c>
      <c r="CL26" s="87">
        <f t="shared" si="17"/>
        <v>0</v>
      </c>
      <c r="CM26" s="87">
        <f t="shared" si="40"/>
        <v>0</v>
      </c>
      <c r="CN26" s="90">
        <f t="shared" si="42"/>
        <v>0</v>
      </c>
      <c r="CO26" s="88"/>
      <c r="CQ26" s="170" t="s">
        <v>151</v>
      </c>
    </row>
    <row r="27" spans="1:95" s="67" customFormat="1" ht="15.75">
      <c r="A27" s="76">
        <v>13</v>
      </c>
      <c r="B27" s="76" t="s">
        <v>70</v>
      </c>
      <c r="C27" s="91" t="s">
        <v>71</v>
      </c>
      <c r="D27" s="58"/>
      <c r="E27" s="58"/>
      <c r="F27" s="77" t="s">
        <v>153</v>
      </c>
      <c r="G27" s="77" t="s">
        <v>153</v>
      </c>
      <c r="H27" s="77" t="s">
        <v>153</v>
      </c>
      <c r="I27" s="77" t="s">
        <v>153</v>
      </c>
      <c r="J27" s="77" t="s">
        <v>153</v>
      </c>
      <c r="K27" s="58"/>
      <c r="L27" s="58"/>
      <c r="M27" s="77"/>
      <c r="N27" s="77"/>
      <c r="O27" s="77"/>
      <c r="P27" s="77"/>
      <c r="Q27" s="77"/>
      <c r="R27" s="58"/>
      <c r="S27" s="58"/>
      <c r="T27" s="77"/>
      <c r="U27" s="77"/>
      <c r="V27" s="77"/>
      <c r="W27" s="77"/>
      <c r="X27" s="77"/>
      <c r="Y27" s="58"/>
      <c r="Z27" s="58"/>
      <c r="AA27" s="77"/>
      <c r="AB27" s="77"/>
      <c r="AC27" s="77"/>
      <c r="AD27" s="77"/>
      <c r="AE27" s="77"/>
      <c r="AF27" s="58"/>
      <c r="AG27" s="58"/>
      <c r="AH27" s="77"/>
      <c r="AI27" s="78">
        <f t="shared" si="18"/>
        <v>5</v>
      </c>
      <c r="AJ27" s="78">
        <v>21</v>
      </c>
      <c r="AL27" s="92">
        <v>13</v>
      </c>
      <c r="AM27" s="80" t="s">
        <v>71</v>
      </c>
      <c r="AN27" s="80" t="s">
        <v>30</v>
      </c>
      <c r="AO27" s="210"/>
      <c r="AP27" s="210"/>
      <c r="AQ27" s="210"/>
      <c r="AR27" s="210"/>
      <c r="AS27" s="210"/>
      <c r="AT27" s="93">
        <f t="shared" si="19"/>
        <v>0</v>
      </c>
      <c r="AU27" s="82">
        <f t="shared" si="20"/>
        <v>5</v>
      </c>
      <c r="AV27" s="77">
        <f t="shared" si="21"/>
        <v>0</v>
      </c>
      <c r="AW27" s="83">
        <f t="shared" si="22"/>
        <v>0</v>
      </c>
      <c r="AX27" s="84">
        <f t="shared" si="23"/>
        <v>0</v>
      </c>
      <c r="AY27" s="84">
        <f t="shared" si="7"/>
        <v>0</v>
      </c>
      <c r="AZ27" s="84">
        <f t="shared" si="8"/>
        <v>0</v>
      </c>
      <c r="BA27" s="214">
        <f t="shared" si="41"/>
        <v>0</v>
      </c>
      <c r="BB27" s="84">
        <f t="shared" si="43"/>
        <v>0</v>
      </c>
      <c r="BC27" s="84">
        <f t="shared" si="24"/>
        <v>0</v>
      </c>
      <c r="BD27" s="77">
        <v>0</v>
      </c>
      <c r="BE27" s="94">
        <f t="shared" si="9"/>
        <v>0</v>
      </c>
      <c r="BF27" s="94"/>
      <c r="BG27" s="212"/>
      <c r="BH27" s="86">
        <v>13</v>
      </c>
      <c r="BI27" s="80" t="s">
        <v>71</v>
      </c>
      <c r="BJ27" s="80" t="s">
        <v>30</v>
      </c>
      <c r="BK27" s="83">
        <f t="shared" si="25"/>
        <v>0</v>
      </c>
      <c r="BL27" s="87">
        <f t="shared" si="26"/>
        <v>0</v>
      </c>
      <c r="BM27" s="87">
        <f t="shared" si="27"/>
        <v>0</v>
      </c>
      <c r="BN27" s="87">
        <f t="shared" si="28"/>
        <v>0</v>
      </c>
      <c r="BO27" s="87">
        <f t="shared" si="29"/>
        <v>0</v>
      </c>
      <c r="BP27" s="87">
        <f t="shared" si="30"/>
        <v>0</v>
      </c>
      <c r="BQ27" s="87">
        <f t="shared" si="31"/>
        <v>0</v>
      </c>
      <c r="BR27" s="223">
        <f t="shared" si="32"/>
        <v>0</v>
      </c>
      <c r="BS27" s="223">
        <f t="shared" si="33"/>
        <v>0</v>
      </c>
      <c r="BT27" s="87">
        <f t="shared" si="34"/>
        <v>0</v>
      </c>
      <c r="BU27" s="87">
        <f t="shared" si="35"/>
        <v>0</v>
      </c>
      <c r="BV27" s="87"/>
      <c r="BX27" s="80" t="s">
        <v>71</v>
      </c>
      <c r="BY27" s="80" t="s">
        <v>30</v>
      </c>
      <c r="BZ27" s="87">
        <f t="shared" si="10"/>
        <v>0</v>
      </c>
      <c r="CA27" s="87">
        <f t="shared" si="11"/>
        <v>0</v>
      </c>
      <c r="CB27" s="87">
        <f t="shared" si="12"/>
        <v>0</v>
      </c>
      <c r="CC27" s="87">
        <f t="shared" si="13"/>
        <v>0</v>
      </c>
      <c r="CD27" s="87">
        <f t="shared" si="14"/>
        <v>0</v>
      </c>
      <c r="CE27" s="87">
        <f t="shared" si="15"/>
        <v>0</v>
      </c>
      <c r="CF27" s="87">
        <f t="shared" si="37"/>
        <v>5</v>
      </c>
      <c r="CG27" s="77">
        <f t="shared" si="38"/>
        <v>0</v>
      </c>
      <c r="CH27" s="89"/>
      <c r="CI27" s="87">
        <f t="shared" si="16"/>
        <v>0</v>
      </c>
      <c r="CJ27" s="87"/>
      <c r="CK27" s="87">
        <f t="shared" si="39"/>
        <v>0</v>
      </c>
      <c r="CL27" s="87">
        <f t="shared" si="17"/>
        <v>0</v>
      </c>
      <c r="CM27" s="87">
        <f t="shared" si="40"/>
        <v>0</v>
      </c>
      <c r="CN27" s="90">
        <f t="shared" si="42"/>
        <v>0</v>
      </c>
      <c r="CO27" s="88"/>
      <c r="CQ27" s="170" t="s">
        <v>152</v>
      </c>
    </row>
    <row r="28" spans="1:95" s="67" customFormat="1" ht="15.75">
      <c r="A28" s="76">
        <v>14</v>
      </c>
      <c r="B28" s="76" t="s">
        <v>58</v>
      </c>
      <c r="C28" s="91" t="s">
        <v>55</v>
      </c>
      <c r="D28" s="58"/>
      <c r="E28" s="58"/>
      <c r="F28" s="77" t="s">
        <v>153</v>
      </c>
      <c r="G28" s="77" t="s">
        <v>153</v>
      </c>
      <c r="H28" s="77" t="s">
        <v>153</v>
      </c>
      <c r="I28" s="77" t="s">
        <v>153</v>
      </c>
      <c r="J28" s="77" t="s">
        <v>153</v>
      </c>
      <c r="K28" s="58"/>
      <c r="L28" s="58"/>
      <c r="M28" s="77" t="s">
        <v>153</v>
      </c>
      <c r="N28" s="77" t="s">
        <v>153</v>
      </c>
      <c r="O28" s="77" t="s">
        <v>153</v>
      </c>
      <c r="P28" s="77" t="s">
        <v>153</v>
      </c>
      <c r="Q28" s="77" t="s">
        <v>153</v>
      </c>
      <c r="R28" s="58"/>
      <c r="S28" s="58"/>
      <c r="T28" s="77" t="s">
        <v>153</v>
      </c>
      <c r="U28" s="77" t="s">
        <v>153</v>
      </c>
      <c r="V28" s="77" t="s">
        <v>153</v>
      </c>
      <c r="W28" s="77" t="s">
        <v>153</v>
      </c>
      <c r="X28" s="77" t="s">
        <v>153</v>
      </c>
      <c r="Y28" s="58"/>
      <c r="Z28" s="58"/>
      <c r="AA28" s="77" t="s">
        <v>153</v>
      </c>
      <c r="AB28" s="77" t="s">
        <v>153</v>
      </c>
      <c r="AC28" s="77" t="s">
        <v>153</v>
      </c>
      <c r="AD28" s="77" t="s">
        <v>153</v>
      </c>
      <c r="AE28" s="77" t="s">
        <v>153</v>
      </c>
      <c r="AF28" s="58"/>
      <c r="AG28" s="58"/>
      <c r="AH28" s="77" t="s">
        <v>153</v>
      </c>
      <c r="AI28" s="78">
        <f t="shared" si="18"/>
        <v>21</v>
      </c>
      <c r="AJ28" s="78">
        <v>21</v>
      </c>
      <c r="AL28" s="92">
        <v>14</v>
      </c>
      <c r="AM28" s="80" t="s">
        <v>55</v>
      </c>
      <c r="AN28" s="80" t="s">
        <v>30</v>
      </c>
      <c r="AO28" s="210"/>
      <c r="AP28" s="210"/>
      <c r="AQ28" s="210"/>
      <c r="AR28" s="210"/>
      <c r="AS28" s="210"/>
      <c r="AT28" s="93">
        <f t="shared" si="19"/>
        <v>0</v>
      </c>
      <c r="AU28" s="82">
        <f t="shared" si="20"/>
        <v>21</v>
      </c>
      <c r="AV28" s="77">
        <f t="shared" si="21"/>
        <v>0</v>
      </c>
      <c r="AW28" s="83">
        <f t="shared" si="22"/>
        <v>0</v>
      </c>
      <c r="AX28" s="84">
        <f t="shared" si="23"/>
        <v>0</v>
      </c>
      <c r="AY28" s="84">
        <f t="shared" si="7"/>
        <v>0</v>
      </c>
      <c r="AZ28" s="84">
        <f t="shared" si="8"/>
        <v>0</v>
      </c>
      <c r="BA28" s="214">
        <f t="shared" si="41"/>
        <v>0</v>
      </c>
      <c r="BB28" s="84">
        <f t="shared" si="43"/>
        <v>0</v>
      </c>
      <c r="BC28" s="84">
        <f t="shared" si="24"/>
        <v>0</v>
      </c>
      <c r="BD28" s="77">
        <v>0</v>
      </c>
      <c r="BE28" s="94">
        <f t="shared" si="9"/>
        <v>0</v>
      </c>
      <c r="BF28" s="94"/>
      <c r="BG28" s="212"/>
      <c r="BH28" s="86">
        <v>14</v>
      </c>
      <c r="BI28" s="80" t="s">
        <v>55</v>
      </c>
      <c r="BJ28" s="80" t="s">
        <v>123</v>
      </c>
      <c r="BK28" s="83">
        <f t="shared" si="25"/>
        <v>0</v>
      </c>
      <c r="BL28" s="87">
        <f t="shared" si="26"/>
        <v>0</v>
      </c>
      <c r="BM28" s="87">
        <f t="shared" si="27"/>
        <v>0</v>
      </c>
      <c r="BN28" s="87">
        <f t="shared" si="28"/>
        <v>0</v>
      </c>
      <c r="BO28" s="87">
        <f t="shared" si="29"/>
        <v>0</v>
      </c>
      <c r="BP28" s="87">
        <f t="shared" si="30"/>
        <v>0</v>
      </c>
      <c r="BQ28" s="87">
        <f t="shared" si="31"/>
        <v>0</v>
      </c>
      <c r="BR28" s="223">
        <f t="shared" si="32"/>
        <v>0</v>
      </c>
      <c r="BS28" s="223">
        <f t="shared" si="33"/>
        <v>0</v>
      </c>
      <c r="BT28" s="87">
        <f t="shared" si="34"/>
        <v>0</v>
      </c>
      <c r="BU28" s="87">
        <f t="shared" si="35"/>
        <v>0</v>
      </c>
      <c r="BV28" s="87"/>
      <c r="BX28" s="80" t="s">
        <v>55</v>
      </c>
      <c r="BY28" s="80" t="s">
        <v>123</v>
      </c>
      <c r="BZ28" s="87">
        <f t="shared" si="10"/>
        <v>0</v>
      </c>
      <c r="CA28" s="87">
        <f t="shared" si="11"/>
        <v>0</v>
      </c>
      <c r="CB28" s="87">
        <f t="shared" si="12"/>
        <v>0</v>
      </c>
      <c r="CC28" s="87">
        <f t="shared" si="13"/>
        <v>0</v>
      </c>
      <c r="CD28" s="87">
        <f t="shared" si="14"/>
        <v>0</v>
      </c>
      <c r="CE28" s="87">
        <f t="shared" si="15"/>
        <v>0</v>
      </c>
      <c r="CF28" s="87">
        <f t="shared" si="37"/>
        <v>21</v>
      </c>
      <c r="CG28" s="77">
        <f t="shared" si="38"/>
        <v>0</v>
      </c>
      <c r="CH28" s="89"/>
      <c r="CI28" s="87">
        <f t="shared" si="16"/>
        <v>0</v>
      </c>
      <c r="CJ28" s="87"/>
      <c r="CK28" s="87">
        <f t="shared" si="39"/>
        <v>0</v>
      </c>
      <c r="CL28" s="87">
        <f t="shared" si="17"/>
        <v>0</v>
      </c>
      <c r="CM28" s="87">
        <f t="shared" si="40"/>
        <v>0</v>
      </c>
      <c r="CN28" s="90">
        <f t="shared" si="42"/>
        <v>0</v>
      </c>
      <c r="CO28" s="88"/>
      <c r="CQ28" s="170" t="s">
        <v>145</v>
      </c>
    </row>
    <row r="29" spans="1:95" s="67" customFormat="1" ht="15.75">
      <c r="A29" s="76">
        <v>15</v>
      </c>
      <c r="B29" s="76" t="s">
        <v>66</v>
      </c>
      <c r="C29" s="91" t="s">
        <v>56</v>
      </c>
      <c r="D29" s="58"/>
      <c r="E29" s="58"/>
      <c r="F29" s="77" t="s">
        <v>153</v>
      </c>
      <c r="G29" s="77" t="s">
        <v>153</v>
      </c>
      <c r="H29" s="77" t="s">
        <v>153</v>
      </c>
      <c r="I29" s="77" t="s">
        <v>153</v>
      </c>
      <c r="J29" s="77" t="s">
        <v>153</v>
      </c>
      <c r="K29" s="58"/>
      <c r="L29" s="58"/>
      <c r="M29" s="77" t="s">
        <v>153</v>
      </c>
      <c r="N29" s="77" t="s">
        <v>153</v>
      </c>
      <c r="O29" s="77" t="s">
        <v>153</v>
      </c>
      <c r="P29" s="77" t="s">
        <v>153</v>
      </c>
      <c r="Q29" s="77" t="s">
        <v>153</v>
      </c>
      <c r="R29" s="58"/>
      <c r="S29" s="58"/>
      <c r="T29" s="77" t="s">
        <v>153</v>
      </c>
      <c r="U29" s="77" t="s">
        <v>153</v>
      </c>
      <c r="V29" s="77" t="s">
        <v>153</v>
      </c>
      <c r="W29" s="77" t="s">
        <v>153</v>
      </c>
      <c r="X29" s="77" t="s">
        <v>153</v>
      </c>
      <c r="Y29" s="58"/>
      <c r="Z29" s="58"/>
      <c r="AA29" s="77" t="s">
        <v>153</v>
      </c>
      <c r="AB29" s="77" t="s">
        <v>153</v>
      </c>
      <c r="AC29" s="77" t="s">
        <v>153</v>
      </c>
      <c r="AD29" s="77" t="s">
        <v>153</v>
      </c>
      <c r="AE29" s="77" t="s">
        <v>153</v>
      </c>
      <c r="AF29" s="58"/>
      <c r="AG29" s="58"/>
      <c r="AH29" s="77" t="s">
        <v>153</v>
      </c>
      <c r="AI29" s="78">
        <f t="shared" si="18"/>
        <v>21</v>
      </c>
      <c r="AJ29" s="78">
        <v>21</v>
      </c>
      <c r="AL29" s="92">
        <v>15</v>
      </c>
      <c r="AM29" s="80" t="s">
        <v>56</v>
      </c>
      <c r="AN29" s="80" t="s">
        <v>30</v>
      </c>
      <c r="AO29" s="210"/>
      <c r="AP29" s="210"/>
      <c r="AQ29" s="210"/>
      <c r="AR29" s="210"/>
      <c r="AS29" s="210"/>
      <c r="AT29" s="93">
        <f t="shared" si="19"/>
        <v>0</v>
      </c>
      <c r="AU29" s="82">
        <f t="shared" si="20"/>
        <v>21</v>
      </c>
      <c r="AV29" s="77">
        <f t="shared" si="21"/>
        <v>0</v>
      </c>
      <c r="AW29" s="83">
        <f t="shared" si="22"/>
        <v>0</v>
      </c>
      <c r="AX29" s="84">
        <f t="shared" si="23"/>
        <v>0</v>
      </c>
      <c r="AY29" s="84">
        <f t="shared" si="7"/>
        <v>0</v>
      </c>
      <c r="AZ29" s="84">
        <f t="shared" si="8"/>
        <v>0</v>
      </c>
      <c r="BA29" s="214">
        <f t="shared" si="41"/>
        <v>0</v>
      </c>
      <c r="BB29" s="84">
        <f t="shared" si="43"/>
        <v>0</v>
      </c>
      <c r="BC29" s="84">
        <f t="shared" si="24"/>
        <v>0</v>
      </c>
      <c r="BD29" s="77">
        <v>0</v>
      </c>
      <c r="BE29" s="94">
        <f t="shared" si="9"/>
        <v>0</v>
      </c>
      <c r="BF29" s="94"/>
      <c r="BG29" s="212"/>
      <c r="BH29" s="86">
        <v>15</v>
      </c>
      <c r="BI29" s="80" t="s">
        <v>56</v>
      </c>
      <c r="BJ29" s="80" t="s">
        <v>30</v>
      </c>
      <c r="BK29" s="83">
        <f t="shared" si="25"/>
        <v>0</v>
      </c>
      <c r="BL29" s="87">
        <f t="shared" si="26"/>
        <v>0</v>
      </c>
      <c r="BM29" s="87">
        <f t="shared" si="27"/>
        <v>0</v>
      </c>
      <c r="BN29" s="87">
        <f t="shared" si="28"/>
        <v>0</v>
      </c>
      <c r="BO29" s="87">
        <f t="shared" si="29"/>
        <v>0</v>
      </c>
      <c r="BP29" s="87">
        <f t="shared" si="30"/>
        <v>0</v>
      </c>
      <c r="BQ29" s="87">
        <f t="shared" si="31"/>
        <v>0</v>
      </c>
      <c r="BR29" s="223">
        <f t="shared" si="32"/>
        <v>0</v>
      </c>
      <c r="BS29" s="223">
        <f t="shared" si="33"/>
        <v>0</v>
      </c>
      <c r="BT29" s="87">
        <f t="shared" si="34"/>
        <v>0</v>
      </c>
      <c r="BU29" s="87">
        <f t="shared" si="35"/>
        <v>0</v>
      </c>
      <c r="BV29" s="87"/>
      <c r="BX29" s="80" t="s">
        <v>56</v>
      </c>
      <c r="BY29" s="80" t="s">
        <v>30</v>
      </c>
      <c r="BZ29" s="87">
        <f t="shared" si="10"/>
        <v>0</v>
      </c>
      <c r="CA29" s="87">
        <f t="shared" si="11"/>
        <v>0</v>
      </c>
      <c r="CB29" s="87">
        <f t="shared" si="12"/>
        <v>0</v>
      </c>
      <c r="CC29" s="87">
        <f t="shared" si="13"/>
        <v>0</v>
      </c>
      <c r="CD29" s="87">
        <f t="shared" si="14"/>
        <v>0</v>
      </c>
      <c r="CE29" s="87">
        <f t="shared" si="15"/>
        <v>0</v>
      </c>
      <c r="CF29" s="87">
        <f t="shared" si="37"/>
        <v>21</v>
      </c>
      <c r="CG29" s="77">
        <f t="shared" si="38"/>
        <v>0</v>
      </c>
      <c r="CH29" s="89"/>
      <c r="CI29" s="87">
        <f t="shared" si="16"/>
        <v>0</v>
      </c>
      <c r="CJ29" s="87"/>
      <c r="CK29" s="87">
        <f t="shared" si="39"/>
        <v>0</v>
      </c>
      <c r="CL29" s="87">
        <f t="shared" si="17"/>
        <v>0</v>
      </c>
      <c r="CM29" s="87">
        <f t="shared" si="40"/>
        <v>0</v>
      </c>
      <c r="CN29" s="90">
        <f t="shared" si="42"/>
        <v>0</v>
      </c>
      <c r="CO29" s="88"/>
      <c r="CQ29" s="170" t="s">
        <v>146</v>
      </c>
    </row>
    <row r="30" spans="1:95" s="67" customFormat="1" ht="15.75">
      <c r="A30" s="76">
        <v>16</v>
      </c>
      <c r="B30" s="76" t="s">
        <v>67</v>
      </c>
      <c r="C30" s="91" t="s">
        <v>57</v>
      </c>
      <c r="D30" s="58"/>
      <c r="E30" s="58"/>
      <c r="F30" s="77" t="s">
        <v>153</v>
      </c>
      <c r="G30" s="77" t="s">
        <v>153</v>
      </c>
      <c r="H30" s="77" t="s">
        <v>153</v>
      </c>
      <c r="I30" s="77" t="s">
        <v>153</v>
      </c>
      <c r="J30" s="77" t="s">
        <v>153</v>
      </c>
      <c r="K30" s="58"/>
      <c r="L30" s="58"/>
      <c r="M30" s="77" t="s">
        <v>153</v>
      </c>
      <c r="N30" s="77" t="s">
        <v>153</v>
      </c>
      <c r="O30" s="77" t="s">
        <v>153</v>
      </c>
      <c r="P30" s="77" t="s">
        <v>153</v>
      </c>
      <c r="Q30" s="77" t="s">
        <v>153</v>
      </c>
      <c r="R30" s="58"/>
      <c r="S30" s="58"/>
      <c r="T30" s="77" t="s">
        <v>153</v>
      </c>
      <c r="U30" s="77" t="s">
        <v>153</v>
      </c>
      <c r="V30" s="77" t="s">
        <v>153</v>
      </c>
      <c r="W30" s="77" t="s">
        <v>153</v>
      </c>
      <c r="X30" s="77" t="s">
        <v>153</v>
      </c>
      <c r="Y30" s="58"/>
      <c r="Z30" s="58"/>
      <c r="AA30" s="77" t="s">
        <v>153</v>
      </c>
      <c r="AB30" s="77" t="s">
        <v>153</v>
      </c>
      <c r="AC30" s="77" t="s">
        <v>153</v>
      </c>
      <c r="AD30" s="77" t="s">
        <v>153</v>
      </c>
      <c r="AE30" s="77" t="s">
        <v>153</v>
      </c>
      <c r="AF30" s="58"/>
      <c r="AG30" s="58"/>
      <c r="AH30" s="77" t="s">
        <v>153</v>
      </c>
      <c r="AI30" s="78">
        <f t="shared" si="18"/>
        <v>21</v>
      </c>
      <c r="AJ30" s="78">
        <v>21</v>
      </c>
      <c r="AL30" s="92">
        <v>16</v>
      </c>
      <c r="AM30" s="80" t="s">
        <v>57</v>
      </c>
      <c r="AN30" s="80" t="s">
        <v>30</v>
      </c>
      <c r="AO30" s="210"/>
      <c r="AP30" s="210"/>
      <c r="AQ30" s="210"/>
      <c r="AR30" s="210"/>
      <c r="AS30" s="210"/>
      <c r="AT30" s="93">
        <f t="shared" si="19"/>
        <v>0</v>
      </c>
      <c r="AU30" s="82">
        <f t="shared" si="20"/>
        <v>21</v>
      </c>
      <c r="AV30" s="77">
        <f t="shared" si="21"/>
        <v>0</v>
      </c>
      <c r="AW30" s="83">
        <f t="shared" si="22"/>
        <v>0</v>
      </c>
      <c r="AX30" s="84">
        <f t="shared" si="23"/>
        <v>0</v>
      </c>
      <c r="AY30" s="84">
        <f t="shared" si="7"/>
        <v>0</v>
      </c>
      <c r="AZ30" s="84">
        <f t="shared" si="8"/>
        <v>0</v>
      </c>
      <c r="BA30" s="214">
        <f t="shared" si="41"/>
        <v>0</v>
      </c>
      <c r="BB30" s="84">
        <f t="shared" si="43"/>
        <v>0</v>
      </c>
      <c r="BC30" s="84">
        <f t="shared" si="24"/>
        <v>0</v>
      </c>
      <c r="BD30" s="77">
        <v>0</v>
      </c>
      <c r="BE30" s="94">
        <f t="shared" si="9"/>
        <v>0</v>
      </c>
      <c r="BF30" s="94"/>
      <c r="BG30" s="212"/>
      <c r="BH30" s="86">
        <v>16</v>
      </c>
      <c r="BI30" s="80" t="s">
        <v>57</v>
      </c>
      <c r="BJ30" s="80" t="s">
        <v>30</v>
      </c>
      <c r="BK30" s="83">
        <f t="shared" si="25"/>
        <v>0</v>
      </c>
      <c r="BL30" s="87">
        <f t="shared" si="26"/>
        <v>0</v>
      </c>
      <c r="BM30" s="87">
        <f t="shared" si="27"/>
        <v>0</v>
      </c>
      <c r="BN30" s="87">
        <f t="shared" si="28"/>
        <v>0</v>
      </c>
      <c r="BO30" s="87">
        <f t="shared" si="29"/>
        <v>0</v>
      </c>
      <c r="BP30" s="87">
        <f t="shared" si="30"/>
        <v>0</v>
      </c>
      <c r="BQ30" s="87">
        <f t="shared" si="31"/>
        <v>0</v>
      </c>
      <c r="BR30" s="223">
        <f t="shared" si="32"/>
        <v>0</v>
      </c>
      <c r="BS30" s="223">
        <f t="shared" si="33"/>
        <v>0</v>
      </c>
      <c r="BT30" s="87">
        <f t="shared" si="34"/>
        <v>0</v>
      </c>
      <c r="BU30" s="87">
        <f t="shared" si="35"/>
        <v>0</v>
      </c>
      <c r="BV30" s="87"/>
      <c r="BX30" s="80" t="s">
        <v>57</v>
      </c>
      <c r="BY30" s="80" t="s">
        <v>30</v>
      </c>
      <c r="BZ30" s="87">
        <f t="shared" si="10"/>
        <v>0</v>
      </c>
      <c r="CA30" s="87">
        <f t="shared" si="11"/>
        <v>0</v>
      </c>
      <c r="CB30" s="87">
        <f t="shared" si="12"/>
        <v>0</v>
      </c>
      <c r="CC30" s="87">
        <f t="shared" si="13"/>
        <v>0</v>
      </c>
      <c r="CD30" s="87">
        <f t="shared" si="14"/>
        <v>0</v>
      </c>
      <c r="CE30" s="87">
        <f t="shared" si="15"/>
        <v>0</v>
      </c>
      <c r="CF30" s="87">
        <f t="shared" si="37"/>
        <v>21</v>
      </c>
      <c r="CG30" s="77">
        <f t="shared" si="38"/>
        <v>0</v>
      </c>
      <c r="CH30" s="89"/>
      <c r="CI30" s="87">
        <f t="shared" si="16"/>
        <v>0</v>
      </c>
      <c r="CJ30" s="87"/>
      <c r="CK30" s="87">
        <f t="shared" si="39"/>
        <v>0</v>
      </c>
      <c r="CL30" s="87">
        <f t="shared" si="17"/>
        <v>0</v>
      </c>
      <c r="CM30" s="87">
        <f t="shared" si="40"/>
        <v>0</v>
      </c>
      <c r="CN30" s="90">
        <f t="shared" si="42"/>
        <v>0</v>
      </c>
      <c r="CO30" s="88"/>
      <c r="CQ30" s="170" t="s">
        <v>147</v>
      </c>
    </row>
    <row r="31" spans="1:95" s="67" customFormat="1" ht="15.75">
      <c r="A31" s="76">
        <v>17</v>
      </c>
      <c r="B31" s="76" t="s">
        <v>52</v>
      </c>
      <c r="C31" s="91" t="s">
        <v>53</v>
      </c>
      <c r="D31" s="58"/>
      <c r="E31" s="58"/>
      <c r="F31" s="77" t="s">
        <v>153</v>
      </c>
      <c r="G31" s="77" t="s">
        <v>153</v>
      </c>
      <c r="H31" s="77" t="s">
        <v>153</v>
      </c>
      <c r="I31" s="77" t="s">
        <v>153</v>
      </c>
      <c r="J31" s="77" t="s">
        <v>153</v>
      </c>
      <c r="K31" s="58"/>
      <c r="L31" s="58"/>
      <c r="M31" s="77" t="s">
        <v>153</v>
      </c>
      <c r="N31" s="77" t="s">
        <v>153</v>
      </c>
      <c r="O31" s="77" t="s">
        <v>153</v>
      </c>
      <c r="P31" s="77" t="s">
        <v>153</v>
      </c>
      <c r="Q31" s="77" t="s">
        <v>153</v>
      </c>
      <c r="R31" s="58"/>
      <c r="S31" s="58"/>
      <c r="T31" s="77" t="s">
        <v>153</v>
      </c>
      <c r="U31" s="77" t="s">
        <v>153</v>
      </c>
      <c r="V31" s="77" t="s">
        <v>153</v>
      </c>
      <c r="W31" s="77" t="s">
        <v>153</v>
      </c>
      <c r="X31" s="77" t="s">
        <v>153</v>
      </c>
      <c r="Y31" s="58"/>
      <c r="Z31" s="58"/>
      <c r="AA31" s="77" t="s">
        <v>153</v>
      </c>
      <c r="AB31" s="77" t="s">
        <v>153</v>
      </c>
      <c r="AC31" s="77" t="s">
        <v>153</v>
      </c>
      <c r="AD31" s="77" t="s">
        <v>153</v>
      </c>
      <c r="AE31" s="77" t="s">
        <v>153</v>
      </c>
      <c r="AF31" s="58"/>
      <c r="AG31" s="58"/>
      <c r="AH31" s="77" t="s">
        <v>153</v>
      </c>
      <c r="AI31" s="78">
        <f t="shared" si="18"/>
        <v>21</v>
      </c>
      <c r="AJ31" s="78">
        <v>21</v>
      </c>
      <c r="AL31" s="92">
        <v>17</v>
      </c>
      <c r="AM31" s="80" t="s">
        <v>53</v>
      </c>
      <c r="AN31" s="80" t="s">
        <v>30</v>
      </c>
      <c r="AO31" s="210"/>
      <c r="AP31" s="210"/>
      <c r="AQ31" s="210"/>
      <c r="AR31" s="210"/>
      <c r="AS31" s="210"/>
      <c r="AT31" s="93">
        <f t="shared" si="19"/>
        <v>0</v>
      </c>
      <c r="AU31" s="82">
        <f t="shared" si="20"/>
        <v>21</v>
      </c>
      <c r="AV31" s="77">
        <f t="shared" si="21"/>
        <v>0</v>
      </c>
      <c r="AW31" s="83"/>
      <c r="AX31" s="84">
        <v>0</v>
      </c>
      <c r="AY31" s="84">
        <v>0</v>
      </c>
      <c r="AZ31" s="84">
        <v>0</v>
      </c>
      <c r="BA31" s="214">
        <f t="shared" si="41"/>
        <v>0</v>
      </c>
      <c r="BB31" s="84">
        <f t="shared" si="43"/>
        <v>0</v>
      </c>
      <c r="BC31" s="84">
        <v>0</v>
      </c>
      <c r="BD31" s="77">
        <v>0</v>
      </c>
      <c r="BE31" s="94">
        <f t="shared" si="9"/>
        <v>0</v>
      </c>
      <c r="BF31" s="94"/>
      <c r="BG31" s="212"/>
      <c r="BH31" s="86">
        <v>17</v>
      </c>
      <c r="BI31" s="80" t="s">
        <v>53</v>
      </c>
      <c r="BJ31" s="80" t="s">
        <v>30</v>
      </c>
      <c r="BK31" s="83">
        <f t="shared" si="25"/>
        <v>0</v>
      </c>
      <c r="BL31" s="87">
        <v>0</v>
      </c>
      <c r="BM31" s="87">
        <v>0</v>
      </c>
      <c r="BN31" s="87">
        <v>0</v>
      </c>
      <c r="BO31" s="87">
        <v>0</v>
      </c>
      <c r="BP31" s="87">
        <v>0</v>
      </c>
      <c r="BQ31" s="87">
        <v>0</v>
      </c>
      <c r="BR31" s="223">
        <f t="shared" si="32"/>
        <v>0</v>
      </c>
      <c r="BS31" s="223">
        <f t="shared" si="33"/>
        <v>0</v>
      </c>
      <c r="BT31" s="87">
        <v>0</v>
      </c>
      <c r="BU31" s="87">
        <v>0</v>
      </c>
      <c r="BV31" s="87"/>
      <c r="BX31" s="80" t="s">
        <v>53</v>
      </c>
      <c r="BY31" s="80" t="s">
        <v>30</v>
      </c>
      <c r="BZ31" s="87">
        <f>AO31</f>
        <v>0</v>
      </c>
      <c r="CA31" s="87">
        <v>0</v>
      </c>
      <c r="CB31" s="87">
        <v>0</v>
      </c>
      <c r="CC31" s="87">
        <f t="shared" ref="CC31" si="44">AR31</f>
        <v>0</v>
      </c>
      <c r="CD31" s="87">
        <v>0</v>
      </c>
      <c r="CE31" s="87">
        <f t="shared" si="15"/>
        <v>0</v>
      </c>
      <c r="CF31" s="87">
        <v>23</v>
      </c>
      <c r="CG31" s="77">
        <f t="shared" ref="CG31" si="45">((BZ31+CB31+CC31)/22)*CF31</f>
        <v>0</v>
      </c>
      <c r="CH31" s="89"/>
      <c r="CI31" s="87">
        <f t="shared" si="16"/>
        <v>0</v>
      </c>
      <c r="CJ31" s="87"/>
      <c r="CK31" s="87">
        <f t="shared" si="39"/>
        <v>0</v>
      </c>
      <c r="CL31" s="87">
        <f t="shared" si="17"/>
        <v>0</v>
      </c>
      <c r="CM31" s="87">
        <v>0</v>
      </c>
      <c r="CN31" s="98"/>
      <c r="CO31" s="88"/>
      <c r="CQ31" s="170" t="s">
        <v>143</v>
      </c>
    </row>
    <row r="32" spans="1:95" s="67" customFormat="1" ht="15.75"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39"/>
      <c r="AC32" s="139"/>
      <c r="AD32" s="139"/>
      <c r="AE32" s="139"/>
      <c r="AF32" s="139"/>
      <c r="AG32" s="139"/>
      <c r="AH32" s="139"/>
      <c r="AL32" s="154"/>
      <c r="AM32" s="155" t="s">
        <v>124</v>
      </c>
      <c r="AN32" s="156"/>
      <c r="AO32" s="145">
        <f t="shared" ref="AO32:BE32" si="46">AO14</f>
        <v>5000000</v>
      </c>
      <c r="AP32" s="145">
        <f t="shared" si="46"/>
        <v>680000</v>
      </c>
      <c r="AQ32" s="145">
        <f t="shared" si="46"/>
        <v>300000</v>
      </c>
      <c r="AR32" s="145">
        <f t="shared" si="46"/>
        <v>10820000</v>
      </c>
      <c r="AS32" s="145">
        <f t="shared" si="46"/>
        <v>200000</v>
      </c>
      <c r="AT32" s="145">
        <f t="shared" si="46"/>
        <v>17000000</v>
      </c>
      <c r="AU32" s="145">
        <f t="shared" si="46"/>
        <v>341</v>
      </c>
      <c r="AV32" s="145">
        <f t="shared" si="46"/>
        <v>17000000</v>
      </c>
      <c r="AW32" s="145">
        <f t="shared" si="46"/>
        <v>5000000</v>
      </c>
      <c r="AX32" s="145">
        <f t="shared" si="46"/>
        <v>400000</v>
      </c>
      <c r="AY32" s="145">
        <f t="shared" si="46"/>
        <v>75000</v>
      </c>
      <c r="AZ32" s="145">
        <f t="shared" si="46"/>
        <v>50000</v>
      </c>
      <c r="BA32" s="145"/>
      <c r="BB32" s="145">
        <f t="shared" si="46"/>
        <v>575000</v>
      </c>
      <c r="BC32" s="145">
        <f t="shared" si="46"/>
        <v>227250</v>
      </c>
      <c r="BD32" s="145">
        <f t="shared" si="46"/>
        <v>0</v>
      </c>
      <c r="BE32" s="98">
        <f t="shared" si="46"/>
        <v>16197750</v>
      </c>
      <c r="BF32" s="94"/>
      <c r="BG32" s="85"/>
      <c r="BH32" s="99"/>
      <c r="BI32" s="100" t="s">
        <v>124</v>
      </c>
      <c r="BJ32" s="101"/>
      <c r="BK32" s="102">
        <f t="shared" ref="BK32:BU32" si="47">BK14</f>
        <v>5000000</v>
      </c>
      <c r="BL32" s="102">
        <f t="shared" si="47"/>
        <v>150000</v>
      </c>
      <c r="BM32" s="102">
        <f t="shared" si="47"/>
        <v>75000</v>
      </c>
      <c r="BN32" s="102">
        <f t="shared" si="47"/>
        <v>50000</v>
      </c>
      <c r="BO32" s="102">
        <f t="shared" si="47"/>
        <v>50000</v>
      </c>
      <c r="BP32" s="102">
        <f t="shared" si="47"/>
        <v>875000</v>
      </c>
      <c r="BQ32" s="102">
        <f t="shared" si="47"/>
        <v>400000</v>
      </c>
      <c r="BR32" s="224">
        <f t="shared" si="47"/>
        <v>100000</v>
      </c>
      <c r="BS32" s="224">
        <f t="shared" si="47"/>
        <v>50000</v>
      </c>
      <c r="BT32" s="103">
        <f t="shared" si="47"/>
        <v>1175000</v>
      </c>
      <c r="BU32" s="103">
        <f t="shared" si="47"/>
        <v>575000</v>
      </c>
      <c r="BV32" s="102"/>
      <c r="BX32" s="230" t="s">
        <v>124</v>
      </c>
      <c r="BY32" s="231"/>
      <c r="BZ32" s="102">
        <f t="shared" ref="BZ32:CN32" si="48">BZ14</f>
        <v>5000000</v>
      </c>
      <c r="CA32" s="102">
        <f t="shared" si="48"/>
        <v>680000</v>
      </c>
      <c r="CB32" s="102">
        <f t="shared" si="48"/>
        <v>300000</v>
      </c>
      <c r="CC32" s="102">
        <f t="shared" si="48"/>
        <v>10820000</v>
      </c>
      <c r="CD32" s="102">
        <f t="shared" si="48"/>
        <v>200000</v>
      </c>
      <c r="CE32" s="102">
        <f t="shared" si="48"/>
        <v>17000000</v>
      </c>
      <c r="CF32" s="102">
        <f t="shared" si="48"/>
        <v>343</v>
      </c>
      <c r="CG32" s="102">
        <f t="shared" si="48"/>
        <v>16120000</v>
      </c>
      <c r="CH32" s="103">
        <f t="shared" si="48"/>
        <v>0</v>
      </c>
      <c r="CI32" s="102">
        <f t="shared" si="48"/>
        <v>0</v>
      </c>
      <c r="CJ32" s="102">
        <f t="shared" si="48"/>
        <v>11000000</v>
      </c>
      <c r="CK32" s="102">
        <f t="shared" si="48"/>
        <v>575000</v>
      </c>
      <c r="CL32" s="102">
        <f t="shared" si="48"/>
        <v>11575000</v>
      </c>
      <c r="CM32" s="102">
        <f t="shared" si="48"/>
        <v>4545000</v>
      </c>
      <c r="CN32" s="103">
        <f t="shared" si="48"/>
        <v>227250</v>
      </c>
      <c r="CO32" s="102"/>
      <c r="CQ32"/>
    </row>
    <row r="33" spans="2:95" s="35" customFormat="1" ht="15.75">
      <c r="B33" s="104" t="s">
        <v>125</v>
      </c>
      <c r="C33" s="105"/>
      <c r="D33" s="140"/>
      <c r="E33" s="141"/>
      <c r="F33" s="106"/>
      <c r="G33" s="141"/>
      <c r="H33" s="106"/>
      <c r="I33" s="106"/>
      <c r="J33" s="106"/>
      <c r="K33" s="107"/>
      <c r="L33" s="107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K33" s="157"/>
      <c r="AL33" s="158"/>
      <c r="AM33" s="157"/>
      <c r="AN33" s="159"/>
      <c r="AO33" s="146"/>
      <c r="AP33" s="146"/>
      <c r="AQ33" s="146"/>
      <c r="AR33" s="146"/>
      <c r="AS33" s="146"/>
      <c r="AT33" s="146"/>
      <c r="AU33" s="147"/>
      <c r="AV33" s="148"/>
      <c r="AW33" s="146"/>
      <c r="AX33" s="146"/>
      <c r="AY33" s="148"/>
      <c r="AZ33" s="146"/>
      <c r="BA33" s="146"/>
      <c r="BB33" s="146"/>
      <c r="BC33" s="146"/>
      <c r="BD33" s="146"/>
      <c r="BE33" s="146"/>
      <c r="BF33" s="211">
        <f>SUM(BF15:BF32)</f>
        <v>0</v>
      </c>
      <c r="BG33" s="108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09"/>
      <c r="BS33" s="109"/>
      <c r="BT33" s="110" t="s">
        <v>162</v>
      </c>
      <c r="BU33" s="110"/>
      <c r="BV33" s="109"/>
      <c r="BW33" s="109"/>
      <c r="BX33" s="111"/>
      <c r="BY33" s="111"/>
      <c r="BZ33" s="112"/>
      <c r="CA33" s="112"/>
      <c r="CB33" s="112"/>
      <c r="CC33" s="112"/>
      <c r="CD33" s="112"/>
      <c r="CE33" s="112"/>
      <c r="CF33" s="113"/>
      <c r="CG33" s="114"/>
      <c r="CH33" s="115"/>
      <c r="CI33" s="116"/>
      <c r="CJ33" s="116"/>
      <c r="CK33" s="117"/>
      <c r="CL33" s="118"/>
      <c r="CM33" s="118"/>
      <c r="CN33" s="119"/>
      <c r="CO33" s="117"/>
      <c r="CQ33"/>
    </row>
    <row r="34" spans="2:95" s="35" customFormat="1" ht="16.5">
      <c r="B34" s="104" t="s">
        <v>126</v>
      </c>
      <c r="C34" s="106"/>
      <c r="D34" s="140"/>
      <c r="E34" s="141"/>
      <c r="F34" s="106"/>
      <c r="G34" s="141"/>
      <c r="H34" s="106"/>
      <c r="I34" s="106"/>
      <c r="J34" s="106"/>
      <c r="K34" s="107"/>
      <c r="L34" s="107"/>
      <c r="M34" s="107"/>
      <c r="N34" s="107"/>
      <c r="O34" s="107"/>
      <c r="P34" s="107"/>
      <c r="Q34" s="107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K34" s="157"/>
      <c r="AL34" s="160"/>
      <c r="AM34" s="161"/>
      <c r="AN34" s="162"/>
      <c r="AO34" s="149"/>
      <c r="AP34" s="149"/>
      <c r="AQ34" s="149"/>
      <c r="AR34" s="149"/>
      <c r="AS34" s="149"/>
      <c r="AT34" s="150"/>
      <c r="AU34" s="151"/>
      <c r="AV34" s="152"/>
      <c r="AW34" s="152"/>
      <c r="AX34" s="149"/>
      <c r="AY34" s="149"/>
      <c r="AZ34" s="149"/>
      <c r="BA34" s="149"/>
      <c r="BB34" s="152"/>
      <c r="BC34" s="149"/>
      <c r="BD34" s="149"/>
      <c r="BE34" s="149">
        <f>BE27+BE21</f>
        <v>0</v>
      </c>
      <c r="BF34" s="149"/>
      <c r="BG34" s="120"/>
      <c r="BH34" s="109"/>
      <c r="BI34" s="109"/>
      <c r="BJ34" s="109"/>
      <c r="BK34" s="109"/>
      <c r="BL34" s="109"/>
      <c r="BM34" s="109"/>
      <c r="BN34" s="109"/>
      <c r="BO34" s="109"/>
      <c r="BP34" s="109"/>
      <c r="BQ34" s="109"/>
      <c r="BR34" s="109"/>
      <c r="BS34" s="109"/>
      <c r="BT34" s="109"/>
      <c r="BU34" s="109"/>
      <c r="BV34" s="109"/>
      <c r="BW34" s="109"/>
      <c r="BX34" s="111"/>
      <c r="BY34" s="111"/>
      <c r="BZ34" s="112"/>
      <c r="CA34" s="112"/>
      <c r="CB34" s="112"/>
      <c r="CC34" s="112"/>
      <c r="CD34" s="112"/>
      <c r="CE34" s="112"/>
      <c r="CF34" s="113"/>
      <c r="CG34" s="114"/>
      <c r="CH34" s="115"/>
      <c r="CI34" s="116"/>
      <c r="CJ34" s="116"/>
      <c r="CK34" s="117"/>
      <c r="CL34" s="118"/>
      <c r="CM34" s="118"/>
      <c r="CN34" s="119"/>
      <c r="CO34" s="117"/>
      <c r="CQ34"/>
    </row>
    <row r="35" spans="2:95" s="35" customFormat="1" ht="15.75">
      <c r="B35" s="104" t="s">
        <v>127</v>
      </c>
      <c r="C35" s="106"/>
      <c r="D35" s="140"/>
      <c r="E35" s="142"/>
      <c r="J35" s="106"/>
      <c r="K35" s="107"/>
      <c r="L35" s="107"/>
      <c r="M35" s="107"/>
      <c r="N35" s="140"/>
      <c r="O35" s="141"/>
      <c r="P35" s="106"/>
      <c r="Q35" s="136" t="s">
        <v>134</v>
      </c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36" t="s">
        <v>130</v>
      </c>
      <c r="AE35" s="107"/>
      <c r="AF35" s="107"/>
      <c r="AG35" s="107"/>
      <c r="AH35" s="107"/>
      <c r="AK35" s="157"/>
      <c r="AL35" s="163"/>
      <c r="AM35" s="164"/>
      <c r="AN35" s="165"/>
      <c r="AO35" s="166" t="s">
        <v>128</v>
      </c>
      <c r="AP35" s="153"/>
      <c r="AQ35" s="153"/>
      <c r="AR35" s="153"/>
      <c r="AS35" s="166" t="s">
        <v>129</v>
      </c>
      <c r="AT35" s="167"/>
      <c r="AU35" s="167"/>
      <c r="AV35" s="167"/>
      <c r="AW35" s="167"/>
      <c r="AX35" s="146"/>
      <c r="AY35" s="146"/>
      <c r="AZ35" s="147" t="s">
        <v>130</v>
      </c>
      <c r="BA35" s="147"/>
      <c r="BB35" s="168"/>
      <c r="BC35" s="168"/>
      <c r="BD35" s="168"/>
      <c r="BE35" s="168">
        <f>BE32-BE34</f>
        <v>16197750</v>
      </c>
      <c r="BF35" s="44"/>
      <c r="BG35" s="124"/>
      <c r="BH35" s="124"/>
      <c r="BI35" s="121"/>
      <c r="BJ35" s="122"/>
      <c r="BK35" s="123" t="s">
        <v>128</v>
      </c>
      <c r="BL35" s="123"/>
      <c r="BM35" s="123"/>
      <c r="BN35" s="123"/>
      <c r="BO35" s="228" t="s">
        <v>129</v>
      </c>
      <c r="BP35" s="228"/>
      <c r="BQ35" s="123"/>
      <c r="BR35" s="123"/>
      <c r="BS35" s="123"/>
      <c r="BT35" s="228" t="s">
        <v>130</v>
      </c>
      <c r="BU35" s="228"/>
      <c r="BX35" s="124"/>
      <c r="BY35" s="121"/>
      <c r="BZ35" s="122"/>
      <c r="CA35" s="123" t="s">
        <v>128</v>
      </c>
      <c r="CB35" s="123"/>
      <c r="CC35" s="123"/>
      <c r="CD35" s="123"/>
      <c r="CE35" s="228" t="s">
        <v>129</v>
      </c>
      <c r="CF35" s="228"/>
      <c r="CG35" s="123"/>
      <c r="CH35" s="38"/>
      <c r="CL35" s="228" t="s">
        <v>130</v>
      </c>
      <c r="CM35" s="228"/>
      <c r="CN35" s="119"/>
      <c r="CO35" s="117"/>
    </row>
    <row r="36" spans="2:95" s="35" customFormat="1" ht="15.75">
      <c r="B36" s="104" t="s">
        <v>131</v>
      </c>
      <c r="C36" s="106"/>
      <c r="D36" s="106"/>
      <c r="E36" s="106"/>
      <c r="L36" s="107"/>
      <c r="M36" s="107"/>
      <c r="N36" s="106"/>
      <c r="O36" s="106"/>
      <c r="Q36" s="137" t="s">
        <v>132</v>
      </c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38" t="s">
        <v>133</v>
      </c>
      <c r="AE36" s="107"/>
      <c r="AF36" s="107"/>
      <c r="AG36" s="107"/>
      <c r="AH36" s="107"/>
      <c r="AK36" s="171"/>
      <c r="AL36" s="172"/>
      <c r="AM36" s="173"/>
      <c r="AN36" s="174"/>
      <c r="AO36" s="175" t="s">
        <v>132</v>
      </c>
      <c r="AP36" s="176"/>
      <c r="AQ36" s="177"/>
      <c r="AR36" s="177"/>
      <c r="AS36" s="175" t="s">
        <v>132</v>
      </c>
      <c r="AT36" s="178"/>
      <c r="AU36" s="178"/>
      <c r="AV36" s="178"/>
      <c r="AW36" s="178"/>
      <c r="AX36" s="179"/>
      <c r="AY36" s="179"/>
      <c r="AZ36" s="175" t="s">
        <v>133</v>
      </c>
      <c r="BA36" s="175"/>
      <c r="BB36" s="178"/>
      <c r="BC36" s="178"/>
      <c r="BD36" s="178"/>
      <c r="BE36" s="178"/>
      <c r="BF36" s="44"/>
      <c r="BG36" s="128"/>
      <c r="BH36" s="128"/>
      <c r="BI36" s="109"/>
      <c r="BJ36" s="125"/>
      <c r="BK36" s="126" t="s">
        <v>132</v>
      </c>
      <c r="BL36" s="126"/>
      <c r="BM36" s="127"/>
      <c r="BN36" s="127"/>
      <c r="BO36" s="229" t="s">
        <v>132</v>
      </c>
      <c r="BP36" s="229"/>
      <c r="BQ36" s="126"/>
      <c r="BR36" s="126"/>
      <c r="BS36" s="126"/>
      <c r="BT36" s="229" t="s">
        <v>133</v>
      </c>
      <c r="BU36" s="229"/>
      <c r="BX36" s="128"/>
      <c r="BY36" s="109"/>
      <c r="BZ36" s="125"/>
      <c r="CA36" s="126" t="s">
        <v>132</v>
      </c>
      <c r="CB36" s="126"/>
      <c r="CC36" s="127"/>
      <c r="CD36" s="127"/>
      <c r="CE36" s="229" t="s">
        <v>132</v>
      </c>
      <c r="CF36" s="229"/>
      <c r="CG36" s="126"/>
      <c r="CH36" s="38"/>
      <c r="CL36" s="229" t="s">
        <v>133</v>
      </c>
      <c r="CM36" s="229"/>
      <c r="CN36" s="119"/>
      <c r="CO36" s="116"/>
    </row>
    <row r="37" spans="2:95" s="180" customFormat="1" ht="15.75">
      <c r="D37" s="181"/>
      <c r="E37" s="181"/>
      <c r="J37" s="181"/>
      <c r="K37" s="181"/>
      <c r="L37" s="181"/>
      <c r="M37" s="181"/>
      <c r="N37" s="181"/>
      <c r="O37" s="181"/>
      <c r="P37" s="181"/>
      <c r="Q37" s="181"/>
      <c r="R37" s="181"/>
      <c r="S37" s="181"/>
      <c r="T37" s="181"/>
      <c r="U37" s="181"/>
      <c r="V37" s="181"/>
      <c r="W37" s="181"/>
      <c r="X37" s="181"/>
      <c r="Y37" s="181"/>
      <c r="Z37" s="181"/>
      <c r="AA37" s="181"/>
      <c r="AB37" s="181"/>
      <c r="AC37" s="181"/>
      <c r="AD37" s="181"/>
      <c r="AE37" s="181"/>
      <c r="AF37" s="181"/>
      <c r="AG37" s="181"/>
      <c r="AH37" s="181"/>
      <c r="AL37" s="181"/>
      <c r="AN37" s="182"/>
      <c r="AO37" s="36"/>
      <c r="AP37" s="36"/>
      <c r="AQ37" s="36"/>
      <c r="AR37" s="36"/>
      <c r="AS37" s="36"/>
      <c r="AT37" s="36"/>
      <c r="AU37" s="183"/>
      <c r="AV37" s="184"/>
      <c r="AW37" s="36"/>
      <c r="AX37" s="185"/>
      <c r="AY37" s="186"/>
      <c r="AZ37" s="36"/>
      <c r="BA37" s="36"/>
      <c r="BB37" s="36"/>
      <c r="BC37" s="36"/>
      <c r="BD37" s="36"/>
      <c r="BE37" s="36"/>
      <c r="CH37" s="187"/>
      <c r="CL37" s="188"/>
      <c r="CM37" s="188"/>
      <c r="CN37" s="119"/>
      <c r="CO37" s="117"/>
    </row>
    <row r="38" spans="2:95" s="36" customFormat="1" ht="15.75">
      <c r="D38" s="189"/>
      <c r="E38" s="189"/>
      <c r="F38" s="189"/>
      <c r="G38" s="189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C38" s="189"/>
      <c r="AD38" s="189"/>
      <c r="AE38" s="189"/>
      <c r="AF38" s="189"/>
      <c r="AG38" s="189"/>
      <c r="AH38" s="189"/>
      <c r="AI38" s="184"/>
      <c r="AJ38" s="184"/>
      <c r="AL38" s="181"/>
      <c r="AM38" s="180"/>
      <c r="AN38" s="182"/>
      <c r="AU38" s="183"/>
      <c r="AV38" s="184"/>
      <c r="AX38" s="185"/>
      <c r="AY38" s="186"/>
      <c r="BF38" s="180"/>
      <c r="CH38" s="190"/>
      <c r="CL38" s="191"/>
      <c r="CM38" s="191"/>
      <c r="CN38" s="129"/>
      <c r="CO38" s="130"/>
    </row>
    <row r="39" spans="2:95" s="180" customFormat="1" ht="15.75">
      <c r="D39" s="192"/>
      <c r="E39" s="192"/>
      <c r="F39" s="192"/>
      <c r="G39" s="192"/>
      <c r="H39" s="182"/>
      <c r="I39" s="182"/>
      <c r="J39" s="182"/>
      <c r="K39" s="182"/>
      <c r="L39" s="182"/>
      <c r="M39" s="182"/>
      <c r="N39" s="182"/>
      <c r="O39" s="182"/>
      <c r="P39" s="182"/>
      <c r="Q39" s="182"/>
      <c r="R39" s="182"/>
      <c r="S39" s="182"/>
      <c r="T39" s="182"/>
      <c r="U39" s="182"/>
      <c r="V39" s="182"/>
      <c r="W39" s="182"/>
      <c r="X39" s="182"/>
      <c r="Y39" s="182"/>
      <c r="Z39" s="182"/>
      <c r="AA39" s="182"/>
      <c r="AC39" s="193"/>
      <c r="AD39" s="193"/>
      <c r="AE39" s="193"/>
      <c r="AF39" s="193"/>
      <c r="AG39" s="193"/>
      <c r="AH39" s="193"/>
      <c r="AI39" s="193"/>
      <c r="AJ39" s="193"/>
      <c r="AL39" s="227"/>
      <c r="AM39" s="227"/>
      <c r="AN39" s="227"/>
      <c r="AO39" s="227"/>
      <c r="AP39" s="227"/>
      <c r="AQ39" s="227"/>
      <c r="AR39" s="36"/>
      <c r="AS39" s="36"/>
      <c r="AT39" s="36"/>
      <c r="AU39" s="183"/>
      <c r="AV39" s="184"/>
      <c r="AW39" s="36"/>
      <c r="AX39" s="36"/>
      <c r="AY39" s="184"/>
      <c r="AZ39" s="36"/>
      <c r="BA39" s="36"/>
      <c r="BB39" s="36"/>
      <c r="BE39" s="36"/>
      <c r="BX39" s="194"/>
      <c r="BY39" s="194"/>
      <c r="BZ39" s="112"/>
      <c r="CA39" s="112"/>
      <c r="CB39" s="112"/>
      <c r="CC39" s="112"/>
      <c r="CD39" s="112"/>
      <c r="CE39" s="112"/>
      <c r="CF39" s="195"/>
      <c r="CG39" s="196"/>
      <c r="CH39" s="197"/>
      <c r="CI39" s="116"/>
      <c r="CJ39" s="116"/>
      <c r="CK39" s="117"/>
      <c r="CL39" s="188"/>
      <c r="CM39" s="188"/>
      <c r="CN39" s="129"/>
      <c r="CO39" s="117"/>
    </row>
    <row r="40" spans="2:95" s="180" customFormat="1" ht="15.75">
      <c r="D40" s="181"/>
      <c r="E40" s="181"/>
      <c r="F40" s="181"/>
      <c r="G40" s="181"/>
      <c r="H40" s="181"/>
      <c r="I40" s="181"/>
      <c r="J40" s="181"/>
      <c r="K40" s="181"/>
      <c r="L40" s="181"/>
      <c r="M40" s="181"/>
      <c r="N40" s="181"/>
      <c r="O40" s="181"/>
      <c r="P40" s="181"/>
      <c r="Q40" s="181"/>
      <c r="R40" s="181"/>
      <c r="S40" s="181"/>
      <c r="T40" s="181"/>
      <c r="U40" s="181"/>
      <c r="V40" s="181"/>
      <c r="W40" s="181"/>
      <c r="X40" s="181"/>
      <c r="Y40" s="181"/>
      <c r="Z40" s="181"/>
      <c r="AA40" s="181"/>
      <c r="AB40" s="181"/>
      <c r="AC40" s="181"/>
      <c r="AD40" s="181"/>
      <c r="AE40" s="181"/>
      <c r="AF40" s="181"/>
      <c r="AG40" s="181"/>
      <c r="AH40" s="181"/>
      <c r="AL40" s="198"/>
      <c r="AM40" s="198"/>
      <c r="AN40" s="198"/>
      <c r="AO40" s="198"/>
      <c r="AP40" s="198"/>
      <c r="AQ40" s="198"/>
      <c r="AR40" s="36"/>
      <c r="AS40" s="36"/>
      <c r="AT40" s="36"/>
      <c r="AU40" s="183"/>
      <c r="AV40" s="184"/>
      <c r="AW40" s="36"/>
      <c r="AX40" s="36"/>
      <c r="AY40" s="184"/>
      <c r="AZ40" s="36"/>
      <c r="BA40" s="36"/>
      <c r="BB40" s="36"/>
      <c r="BE40" s="36"/>
      <c r="BX40" s="199"/>
      <c r="BY40" s="199"/>
      <c r="BZ40" s="131"/>
      <c r="CA40" s="131"/>
      <c r="CB40" s="131"/>
      <c r="CC40" s="131"/>
      <c r="CD40" s="131"/>
      <c r="CE40" s="131"/>
      <c r="CF40" s="200"/>
      <c r="CG40" s="201"/>
      <c r="CH40" s="197"/>
      <c r="CI40" s="132"/>
      <c r="CJ40" s="132"/>
      <c r="CK40" s="132"/>
      <c r="CL40" s="201"/>
      <c r="CM40" s="201"/>
      <c r="CN40" s="129"/>
      <c r="CO40" s="132"/>
    </row>
    <row r="41" spans="2:95" s="207" customFormat="1" ht="15.75">
      <c r="B41" s="202"/>
      <c r="C41" s="202"/>
      <c r="D41" s="203"/>
      <c r="E41" s="203"/>
      <c r="F41" s="203"/>
      <c r="G41" s="203"/>
      <c r="H41" s="203"/>
      <c r="I41" s="203"/>
      <c r="J41" s="203"/>
      <c r="K41" s="203"/>
      <c r="L41" s="203"/>
      <c r="M41" s="203"/>
      <c r="N41" s="203"/>
      <c r="O41" s="203"/>
      <c r="P41" s="204"/>
      <c r="Q41" s="203"/>
      <c r="R41" s="203"/>
      <c r="S41" s="203"/>
      <c r="T41" s="280"/>
      <c r="U41" s="280"/>
      <c r="V41" s="203"/>
      <c r="W41" s="203"/>
      <c r="X41" s="203"/>
      <c r="Y41" s="205"/>
      <c r="Z41" s="203"/>
      <c r="AA41" s="203"/>
      <c r="AB41" s="206"/>
      <c r="AC41" s="206"/>
      <c r="AD41" s="206"/>
      <c r="AE41" s="206"/>
      <c r="AF41" s="206"/>
      <c r="AG41" s="206"/>
      <c r="AH41" s="206"/>
      <c r="AO41" s="218" t="s">
        <v>156</v>
      </c>
      <c r="AP41" s="219">
        <v>1490000</v>
      </c>
      <c r="AV41" s="208"/>
    </row>
    <row r="42" spans="2:95" s="207" customFormat="1">
      <c r="D42" s="206"/>
      <c r="E42" s="206"/>
      <c r="F42" s="206"/>
      <c r="G42" s="206"/>
      <c r="H42" s="206"/>
      <c r="I42" s="206"/>
      <c r="J42" s="206"/>
      <c r="K42" s="206"/>
      <c r="L42" s="206"/>
      <c r="M42" s="206"/>
      <c r="N42" s="206"/>
      <c r="O42" s="206"/>
      <c r="P42" s="206"/>
      <c r="Q42" s="206"/>
      <c r="R42" s="206"/>
      <c r="S42" s="206"/>
      <c r="T42" s="281"/>
      <c r="U42" s="281"/>
      <c r="V42" s="206"/>
      <c r="W42" s="206"/>
      <c r="X42" s="209"/>
      <c r="Y42" s="209"/>
      <c r="Z42" s="209"/>
      <c r="AA42" s="206"/>
      <c r="AB42" s="206"/>
      <c r="AC42" s="206"/>
      <c r="AD42" s="206"/>
      <c r="AE42" s="206"/>
      <c r="AF42" s="206"/>
      <c r="AG42" s="206"/>
      <c r="AH42" s="206"/>
      <c r="AV42" s="208"/>
    </row>
    <row r="43" spans="2:95">
      <c r="T43" s="282"/>
      <c r="U43" s="282"/>
      <c r="Y43" s="144"/>
      <c r="AA43" s="144"/>
    </row>
  </sheetData>
  <dataConsolidate/>
  <mergeCells count="75">
    <mergeCell ref="T41:U41"/>
    <mergeCell ref="T42:U42"/>
    <mergeCell ref="T43:U43"/>
    <mergeCell ref="CQ11:CQ13"/>
    <mergeCell ref="B4:L4"/>
    <mergeCell ref="AL4:AV4"/>
    <mergeCell ref="B5:R5"/>
    <mergeCell ref="AL5:BC5"/>
    <mergeCell ref="B7:AJ7"/>
    <mergeCell ref="AL7:BF7"/>
    <mergeCell ref="BH7:BV7"/>
    <mergeCell ref="BX7:CO7"/>
    <mergeCell ref="B8:AJ8"/>
    <mergeCell ref="AL8:BF8"/>
    <mergeCell ref="BH8:BV8"/>
    <mergeCell ref="BX8:CO8"/>
    <mergeCell ref="BC9:BF9"/>
    <mergeCell ref="AL11:AL13"/>
    <mergeCell ref="AM11:AM13"/>
    <mergeCell ref="AN11:AN12"/>
    <mergeCell ref="AO11:AO12"/>
    <mergeCell ref="AP11:AS11"/>
    <mergeCell ref="AT11:AT12"/>
    <mergeCell ref="AU11:AU12"/>
    <mergeCell ref="AV11:AV12"/>
    <mergeCell ref="AW11:AW12"/>
    <mergeCell ref="AX11:BB11"/>
    <mergeCell ref="BC11:BC12"/>
    <mergeCell ref="BD11:BD12"/>
    <mergeCell ref="BE11:BE12"/>
    <mergeCell ref="BF11:BF12"/>
    <mergeCell ref="CJ11:CJ12"/>
    <mergeCell ref="CK11:CK12"/>
    <mergeCell ref="BY11:BY12"/>
    <mergeCell ref="BZ11:BZ12"/>
    <mergeCell ref="CA11:CD11"/>
    <mergeCell ref="CE11:CE12"/>
    <mergeCell ref="CF11:CF12"/>
    <mergeCell ref="BG12:BG14"/>
    <mergeCell ref="B14:AJ14"/>
    <mergeCell ref="CG11:CG12"/>
    <mergeCell ref="CH11:CH12"/>
    <mergeCell ref="CI11:CI12"/>
    <mergeCell ref="BN11:BO11"/>
    <mergeCell ref="BP11:BQ11"/>
    <mergeCell ref="BT11:BU11"/>
    <mergeCell ref="BV11:BV13"/>
    <mergeCell ref="BX11:BX13"/>
    <mergeCell ref="BH11:BH13"/>
    <mergeCell ref="BI11:BI13"/>
    <mergeCell ref="BJ11:BJ13"/>
    <mergeCell ref="BK11:BK13"/>
    <mergeCell ref="BL11:BM11"/>
    <mergeCell ref="BR11:BS11"/>
    <mergeCell ref="A12:A13"/>
    <mergeCell ref="B12:B13"/>
    <mergeCell ref="C12:C13"/>
    <mergeCell ref="D12:AH12"/>
    <mergeCell ref="AI12:AJ12"/>
    <mergeCell ref="BQ9:BV9"/>
    <mergeCell ref="CL9:CO9"/>
    <mergeCell ref="AL39:AQ39"/>
    <mergeCell ref="CE35:CF35"/>
    <mergeCell ref="CL35:CM35"/>
    <mergeCell ref="BO36:BP36"/>
    <mergeCell ref="BT36:BU36"/>
    <mergeCell ref="CE36:CF36"/>
    <mergeCell ref="CL36:CM36"/>
    <mergeCell ref="BX32:BY32"/>
    <mergeCell ref="BO35:BP35"/>
    <mergeCell ref="BT35:BU35"/>
    <mergeCell ref="CL11:CL12"/>
    <mergeCell ref="CM11:CM12"/>
    <mergeCell ref="CN11:CN12"/>
    <mergeCell ref="CO11:CO12"/>
  </mergeCells>
  <hyperlinks>
    <hyperlink ref="CQ15" r:id="rId1" xr:uid="{00000000-0004-0000-0000-000000000000}"/>
    <hyperlink ref="CQ16" r:id="rId2" xr:uid="{00000000-0004-0000-0000-000001000000}"/>
    <hyperlink ref="CQ17" r:id="rId3" xr:uid="{00000000-0004-0000-0000-000002000000}"/>
    <hyperlink ref="CQ19" r:id="rId4" xr:uid="{00000000-0004-0000-0000-000003000000}"/>
    <hyperlink ref="CQ20" r:id="rId5" xr:uid="{00000000-0004-0000-0000-000004000000}"/>
    <hyperlink ref="CQ22" r:id="rId6" xr:uid="{00000000-0004-0000-0000-000005000000}"/>
    <hyperlink ref="CQ23" r:id="rId7" xr:uid="{00000000-0004-0000-0000-000006000000}"/>
    <hyperlink ref="CQ21" r:id="rId8" xr:uid="{00000000-0004-0000-0000-000007000000}"/>
    <hyperlink ref="CQ18" r:id="rId9" xr:uid="{00000000-0004-0000-0000-000008000000}"/>
    <hyperlink ref="CQ27" r:id="rId10" xr:uid="{00000000-0004-0000-0000-000009000000}"/>
    <hyperlink ref="CQ28" r:id="rId11" xr:uid="{00000000-0004-0000-0000-00000A000000}"/>
    <hyperlink ref="CQ29" r:id="rId12" xr:uid="{00000000-0004-0000-0000-00000B000000}"/>
    <hyperlink ref="CQ30" r:id="rId13" xr:uid="{00000000-0004-0000-0000-00000C000000}"/>
    <hyperlink ref="CQ31" r:id="rId14" xr:uid="{00000000-0004-0000-0000-00000D000000}"/>
    <hyperlink ref="CQ25" r:id="rId15" xr:uid="{00000000-0004-0000-0000-00000E000000}"/>
    <hyperlink ref="CQ26" r:id="rId16" xr:uid="{00000000-0004-0000-0000-00000F000000}"/>
    <hyperlink ref="CQ24" r:id="rId17" xr:uid="{00000000-0004-0000-0000-000010000000}"/>
  </hyperlinks>
  <pageMargins left="0.5" right="0.5" top="0.5" bottom="1" header="0.3" footer="0.3"/>
  <pageSetup paperSize="9" scale="17" orientation="landscape" useFirstPageNumber="1" r:id="rId18"/>
  <colBreaks count="1" manualBreakCount="1">
    <brk id="75" max="1048575" man="1"/>
  </colBreaks>
  <drawing r:id="rId19"/>
  <legacyDrawing r:id="rId2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5" r:id="rId21" name="Button 97">
              <controlPr defaultSize="0" print="0" autoFill="0" autoPict="0" macro="[0]!genSheet">
                <anchor moveWithCells="1" sizeWithCells="1">
                  <from>
                    <xdr:col>1</xdr:col>
                    <xdr:colOff>9525</xdr:colOff>
                    <xdr:row>0</xdr:row>
                    <xdr:rowOff>66675</xdr:rowOff>
                  </from>
                  <to>
                    <xdr:col>2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34"/>
  <sheetViews>
    <sheetView view="pageBreakPreview" topLeftCell="A16" zoomScaleNormal="100" zoomScaleSheetLayoutView="100" workbookViewId="0">
      <selection activeCell="E27" sqref="E27"/>
    </sheetView>
  </sheetViews>
  <sheetFormatPr defaultColWidth="3.42578125" defaultRowHeight="15"/>
  <cols>
    <col min="2" max="2" width="23" customWidth="1"/>
    <col min="3" max="3" width="12.140625" customWidth="1"/>
    <col min="4" max="4" width="21.28515625" customWidth="1"/>
    <col min="5" max="5" width="50.7109375" customWidth="1"/>
  </cols>
  <sheetData>
    <row r="1" spans="2:5">
      <c r="B1" s="34" t="s">
        <v>35</v>
      </c>
    </row>
    <row r="2" spans="2:5" ht="18">
      <c r="C2" s="1"/>
    </row>
    <row r="3" spans="2:5" ht="18">
      <c r="C3" s="1"/>
      <c r="D3" s="1"/>
    </row>
    <row r="4" spans="2:5" ht="18">
      <c r="C4" s="1"/>
      <c r="D4" s="1" t="s">
        <v>34</v>
      </c>
    </row>
    <row r="5" spans="2:5" ht="18">
      <c r="D5" s="1" t="s">
        <v>0</v>
      </c>
    </row>
    <row r="7" spans="2:5" ht="16.5" thickBot="1">
      <c r="B7" s="2"/>
      <c r="C7" s="2"/>
      <c r="D7" s="2"/>
      <c r="E7" s="3" t="s">
        <v>1</v>
      </c>
    </row>
    <row r="8" spans="2:5" ht="15.75" thickBot="1">
      <c r="B8" s="4" t="s">
        <v>2</v>
      </c>
      <c r="C8" s="5"/>
      <c r="D8" s="6"/>
      <c r="E8" s="31"/>
    </row>
    <row r="9" spans="2:5" ht="15.75" thickBot="1">
      <c r="B9" s="4" t="s">
        <v>3</v>
      </c>
      <c r="C9" s="5"/>
      <c r="D9" s="6"/>
      <c r="E9" s="31"/>
    </row>
    <row r="10" spans="2:5" ht="15.75" thickBot="1">
      <c r="B10" s="4" t="s">
        <v>4</v>
      </c>
      <c r="C10" s="5"/>
      <c r="D10" s="6"/>
      <c r="E10" s="32"/>
    </row>
    <row r="11" spans="2:5" ht="15.75" thickBot="1">
      <c r="B11" s="25" t="s">
        <v>31</v>
      </c>
      <c r="C11" s="5"/>
      <c r="D11" s="6"/>
      <c r="E11" s="33"/>
    </row>
    <row r="12" spans="2:5" ht="15.75" thickBot="1">
      <c r="B12" s="25" t="s">
        <v>32</v>
      </c>
      <c r="C12" s="5"/>
      <c r="D12" s="6"/>
      <c r="E12" s="33"/>
    </row>
    <row r="13" spans="2:5" ht="15.75" thickBot="1">
      <c r="B13" s="9" t="s">
        <v>5</v>
      </c>
      <c r="C13" s="5"/>
      <c r="D13" s="6"/>
      <c r="E13" s="27"/>
    </row>
    <row r="14" spans="2:5" ht="15.75" thickBot="1">
      <c r="B14" s="10"/>
      <c r="C14" s="11"/>
      <c r="D14" s="8" t="s">
        <v>6</v>
      </c>
      <c r="E14" s="28"/>
    </row>
    <row r="15" spans="2:5" ht="15.75" thickBot="1">
      <c r="B15" s="10"/>
      <c r="C15" s="11"/>
      <c r="D15" s="8" t="s">
        <v>7</v>
      </c>
      <c r="E15" s="28"/>
    </row>
    <row r="16" spans="2:5" ht="16.5" thickBot="1">
      <c r="B16" s="10"/>
      <c r="C16" s="11"/>
      <c r="D16" s="26" t="s">
        <v>8</v>
      </c>
      <c r="E16" s="29"/>
    </row>
    <row r="17" spans="2:5" ht="16.5" thickBot="1">
      <c r="B17" s="10"/>
      <c r="C17" s="11"/>
      <c r="D17" s="8" t="s">
        <v>9</v>
      </c>
      <c r="E17" s="30"/>
    </row>
    <row r="18" spans="2:5" ht="15.75" thickBot="1">
      <c r="B18" s="14" t="s">
        <v>10</v>
      </c>
      <c r="C18" s="11"/>
      <c r="D18" s="8" t="s">
        <v>11</v>
      </c>
      <c r="E18" s="28"/>
    </row>
    <row r="19" spans="2:5" ht="15.75" thickBot="1">
      <c r="B19" s="10"/>
      <c r="C19" s="11"/>
      <c r="D19" s="8" t="s">
        <v>12</v>
      </c>
      <c r="E19" s="28"/>
    </row>
    <row r="20" spans="2:5" ht="15.75" thickBot="1">
      <c r="B20" s="10"/>
      <c r="C20" s="11"/>
      <c r="D20" s="8" t="s">
        <v>13</v>
      </c>
      <c r="E20" s="6"/>
    </row>
    <row r="21" spans="2:5" ht="15.75" thickBot="1">
      <c r="B21" s="10"/>
      <c r="C21" s="11"/>
      <c r="D21" s="8" t="s">
        <v>14</v>
      </c>
      <c r="E21" s="6"/>
    </row>
    <row r="22" spans="2:5" ht="15.75" thickBot="1">
      <c r="B22" s="15"/>
      <c r="C22" s="6"/>
      <c r="D22" s="7" t="s">
        <v>15</v>
      </c>
      <c r="E22" s="27"/>
    </row>
    <row r="23" spans="2:5" ht="15.75" thickBot="1">
      <c r="B23" s="291" t="s">
        <v>16</v>
      </c>
      <c r="C23" s="292"/>
      <c r="D23" s="293"/>
      <c r="E23" s="6"/>
    </row>
    <row r="24" spans="2:5">
      <c r="B24" s="16"/>
      <c r="C24" s="17"/>
      <c r="D24" s="12" t="s">
        <v>29</v>
      </c>
      <c r="E24" s="17"/>
    </row>
    <row r="25" spans="2:5">
      <c r="B25" s="16"/>
      <c r="C25" s="17"/>
      <c r="D25" s="12" t="s">
        <v>33</v>
      </c>
      <c r="E25" s="17"/>
    </row>
    <row r="26" spans="2:5">
      <c r="B26" s="287" t="s">
        <v>24</v>
      </c>
      <c r="C26" s="288"/>
      <c r="D26" s="12" t="s">
        <v>17</v>
      </c>
      <c r="E26" s="17"/>
    </row>
    <row r="27" spans="2:5">
      <c r="B27" s="287"/>
      <c r="C27" s="288"/>
      <c r="D27" s="12" t="s">
        <v>163</v>
      </c>
      <c r="E27" s="17"/>
    </row>
    <row r="28" spans="2:5" ht="15.75" thickBot="1">
      <c r="B28" s="287"/>
      <c r="C28" s="288"/>
      <c r="D28" s="8" t="s">
        <v>18</v>
      </c>
      <c r="E28" s="6"/>
    </row>
    <row r="29" spans="2:5" ht="15.75" thickBot="1">
      <c r="B29" s="18"/>
      <c r="C29" s="11"/>
      <c r="D29" s="8" t="s">
        <v>19</v>
      </c>
      <c r="E29" s="6"/>
    </row>
    <row r="30" spans="2:5" ht="16.5" thickBot="1">
      <c r="B30" s="10"/>
      <c r="C30" s="11"/>
      <c r="D30" s="8" t="s">
        <v>20</v>
      </c>
      <c r="E30" s="22"/>
    </row>
    <row r="31" spans="2:5" ht="16.5" thickBot="1">
      <c r="B31" s="15"/>
      <c r="C31" s="6"/>
      <c r="D31" s="7" t="s">
        <v>21</v>
      </c>
      <c r="E31" s="13"/>
    </row>
    <row r="32" spans="2:5" ht="17.25" thickBot="1">
      <c r="B32" s="19"/>
      <c r="C32" s="289" t="s">
        <v>22</v>
      </c>
      <c r="D32" s="290"/>
      <c r="E32" s="23"/>
    </row>
    <row r="33" spans="2:2" ht="15.75">
      <c r="B33" s="20"/>
    </row>
    <row r="34" spans="2:2">
      <c r="B34" s="21" t="s">
        <v>23</v>
      </c>
    </row>
  </sheetData>
  <mergeCells count="3">
    <mergeCell ref="B26:C28"/>
    <mergeCell ref="C32:D32"/>
    <mergeCell ref="B23:D23"/>
  </mergeCells>
  <hyperlinks>
    <hyperlink ref="B1" r:id="rId1" xr:uid="{00000000-0004-0000-0100-000000000000}"/>
  </hyperlinks>
  <pageMargins left="0.7" right="0.7" top="0.75" bottom="0.75" header="0.3" footer="0.3"/>
  <pageSetup scale="7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2_Click">
                <anchor moveWithCells="1" sizeWithCells="1">
                  <from>
                    <xdr:col>1</xdr:col>
                    <xdr:colOff>28575</xdr:colOff>
                    <xdr:row>1</xdr:row>
                    <xdr:rowOff>9525</xdr:rowOff>
                  </from>
                  <to>
                    <xdr:col>1</xdr:col>
                    <xdr:colOff>952500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515B-19CF-4584-AB88-BEFA9238F94A}">
  <sheetPr codeName="Sheet3"/>
  <dimension ref="B1:E34"/>
  <sheetViews>
    <sheetView tabSelected="1" view="pageBreakPreview" topLeftCell="A13" zoomScaleNormal="100" zoomScaleSheetLayoutView="100" workbookViewId="0">
      <selection activeCell="J25" sqref="J25"/>
    </sheetView>
  </sheetViews>
  <sheetFormatPr defaultColWidth="3.42578125" defaultRowHeight="15"/>
  <cols>
    <col min="2" max="2" width="23" customWidth="1"/>
    <col min="3" max="3" width="12.140625" customWidth="1"/>
    <col min="4" max="4" width="21.28515625" customWidth="1"/>
    <col min="5" max="5" width="50.7109375" customWidth="1"/>
  </cols>
  <sheetData>
    <row r="1" spans="2:5">
      <c r="B1" s="34">
        <v>227250</v>
      </c>
    </row>
    <row r="2" spans="2:5" ht="18">
      <c r="C2" s="1"/>
    </row>
    <row r="3" spans="2:5" ht="18">
      <c r="C3" s="1"/>
      <c r="D3" s="1"/>
    </row>
    <row r="4" spans="2:5" ht="18">
      <c r="C4" s="1"/>
      <c r="D4" s="1" t="s">
        <v>34</v>
      </c>
    </row>
    <row r="5" spans="2:5" ht="18">
      <c r="D5" s="1"/>
    </row>
    <row r="7" spans="2:5" ht="16.5" thickBot="1">
      <c r="B7" s="2"/>
      <c r="C7" s="2"/>
      <c r="D7" s="2"/>
      <c r="E7" s="3" t="s">
        <v>1</v>
      </c>
    </row>
    <row r="8" spans="2:5" ht="15.75" thickBot="1">
      <c r="B8" s="4" t="s">
        <v>2</v>
      </c>
      <c r="C8" s="5"/>
      <c r="D8" s="6"/>
      <c r="E8" s="31" t="s">
        <v>62</v>
      </c>
    </row>
    <row r="9" spans="2:5" ht="15.75" thickBot="1">
      <c r="B9" s="4" t="s">
        <v>3</v>
      </c>
      <c r="C9" s="5"/>
      <c r="D9" s="6"/>
      <c r="E9" s="31" t="s">
        <v>65</v>
      </c>
    </row>
    <row r="10" spans="2:5" ht="15.75" thickBot="1">
      <c r="B10" s="4" t="s">
        <v>4</v>
      </c>
      <c r="C10" s="5"/>
      <c r="D10" s="6"/>
      <c r="E10" s="32" t="s">
        <v>30</v>
      </c>
    </row>
    <row r="11" spans="2:5" ht="15.75" thickBot="1">
      <c r="B11" s="25" t="s">
        <v>31</v>
      </c>
      <c r="C11" s="5"/>
      <c r="D11" s="6"/>
      <c r="E11" s="33">
        <v>42</v>
      </c>
    </row>
    <row r="12" spans="2:5" ht="15.75" thickBot="1">
      <c r="B12" s="25" t="s">
        <v>32</v>
      </c>
      <c r="C12" s="5"/>
      <c r="D12" s="6"/>
      <c r="E12" s="33">
        <v>21</v>
      </c>
    </row>
    <row r="13" spans="2:5" ht="15.75" thickBot="1">
      <c r="B13" s="9" t="s">
        <v>5</v>
      </c>
      <c r="C13" s="5"/>
      <c r="D13" s="6"/>
      <c r="E13" s="27">
        <v>17000000</v>
      </c>
    </row>
    <row r="14" spans="2:5" ht="15.75" thickBot="1">
      <c r="B14" s="10"/>
      <c r="C14" s="11"/>
      <c r="D14" s="8" t="s">
        <v>6</v>
      </c>
      <c r="E14" s="28">
        <v>5000000</v>
      </c>
    </row>
    <row r="15" spans="2:5" ht="15.75" thickBot="1">
      <c r="B15" s="10"/>
      <c r="C15" s="11"/>
      <c r="D15" s="8" t="s">
        <v>7</v>
      </c>
      <c r="E15" s="28">
        <v>10820000</v>
      </c>
    </row>
    <row r="16" spans="2:5" ht="16.5" thickBot="1">
      <c r="B16" s="10"/>
      <c r="C16" s="11"/>
      <c r="D16" s="26" t="s">
        <v>8</v>
      </c>
      <c r="E16" s="29">
        <v>300000</v>
      </c>
    </row>
    <row r="17" spans="2:5" ht="16.5" thickBot="1">
      <c r="B17" s="10"/>
      <c r="C17" s="11"/>
      <c r="D17" s="8" t="s">
        <v>9</v>
      </c>
      <c r="E17" s="30"/>
    </row>
    <row r="18" spans="2:5" ht="15.75" thickBot="1">
      <c r="B18" s="14" t="s">
        <v>10</v>
      </c>
      <c r="C18" s="11"/>
      <c r="D18" s="8" t="s">
        <v>11</v>
      </c>
      <c r="E18" s="28">
        <v>680000</v>
      </c>
    </row>
    <row r="19" spans="2:5" ht="15.75" thickBot="1">
      <c r="B19" s="10"/>
      <c r="C19" s="11"/>
      <c r="D19" s="8" t="s">
        <v>12</v>
      </c>
      <c r="E19" s="28">
        <v>200000</v>
      </c>
    </row>
    <row r="20" spans="2:5" ht="15.75" thickBot="1">
      <c r="B20" s="10"/>
      <c r="C20" s="11"/>
      <c r="D20" s="8" t="s">
        <v>13</v>
      </c>
      <c r="E20" s="6"/>
    </row>
    <row r="21" spans="2:5" ht="15.75" thickBot="1">
      <c r="B21" s="10"/>
      <c r="C21" s="11"/>
      <c r="D21" s="8" t="s">
        <v>14</v>
      </c>
      <c r="E21" s="6"/>
    </row>
    <row r="22" spans="2:5" ht="15.75" thickBot="1">
      <c r="B22" s="15"/>
      <c r="C22" s="6"/>
      <c r="D22" s="7" t="s">
        <v>15</v>
      </c>
      <c r="E22" s="27">
        <v>11000000</v>
      </c>
    </row>
    <row r="23" spans="2:5" ht="15.75" thickBot="1">
      <c r="B23" s="291" t="s">
        <v>16</v>
      </c>
      <c r="C23" s="292"/>
      <c r="D23" s="293"/>
      <c r="E23" s="6"/>
    </row>
    <row r="24" spans="2:5">
      <c r="B24" s="16"/>
      <c r="C24" s="17"/>
      <c r="D24" s="12" t="s">
        <v>29</v>
      </c>
      <c r="E24" s="17">
        <v>400000</v>
      </c>
    </row>
    <row r="25" spans="2:5">
      <c r="B25" s="16"/>
      <c r="C25" s="17"/>
      <c r="D25" s="12" t="s">
        <v>33</v>
      </c>
      <c r="E25" s="17">
        <v>75000</v>
      </c>
    </row>
    <row r="26" spans="2:5">
      <c r="B26" s="287" t="s">
        <v>24</v>
      </c>
      <c r="C26" s="288"/>
      <c r="D26" s="12" t="s">
        <v>17</v>
      </c>
      <c r="E26" s="17">
        <v>50000</v>
      </c>
    </row>
    <row r="27" spans="2:5">
      <c r="B27" s="287"/>
      <c r="C27" s="288"/>
      <c r="D27" s="12" t="s">
        <v>163</v>
      </c>
      <c r="E27" s="17">
        <v>50000</v>
      </c>
    </row>
    <row r="28" spans="2:5" ht="15.75" thickBot="1">
      <c r="B28" s="287"/>
      <c r="C28" s="288"/>
      <c r="D28" s="8" t="s">
        <v>18</v>
      </c>
      <c r="E28" s="6"/>
    </row>
    <row r="29" spans="2:5" ht="15.75" thickBot="1">
      <c r="B29" s="225"/>
      <c r="C29" s="11"/>
      <c r="D29" s="8" t="s">
        <v>19</v>
      </c>
      <c r="E29" s="6"/>
    </row>
    <row r="30" spans="2:5" ht="16.5" thickBot="1">
      <c r="B30" s="10"/>
      <c r="C30" s="11"/>
      <c r="D30" s="8" t="s">
        <v>20</v>
      </c>
      <c r="E30" s="22">
        <v>227250</v>
      </c>
    </row>
    <row r="31" spans="2:5" ht="16.5" thickBot="1">
      <c r="B31" s="15"/>
      <c r="C31" s="6"/>
      <c r="D31" s="7" t="s">
        <v>21</v>
      </c>
      <c r="E31" s="13"/>
    </row>
    <row r="32" spans="2:5" ht="17.25" thickBot="1">
      <c r="B32" s="19"/>
      <c r="C32" s="289" t="s">
        <v>22</v>
      </c>
      <c r="D32" s="290"/>
      <c r="E32" s="23">
        <v>16197750</v>
      </c>
    </row>
    <row r="33" spans="2:2" ht="15.75">
      <c r="B33" s="20"/>
    </row>
    <row r="34" spans="2:2">
      <c r="B34" s="21" t="s">
        <v>23</v>
      </c>
    </row>
  </sheetData>
  <mergeCells count="3">
    <mergeCell ref="B23:D23"/>
    <mergeCell ref="B26:C28"/>
    <mergeCell ref="C32:D32"/>
  </mergeCells>
  <hyperlinks>
    <hyperlink ref="B1" r:id="rId1" display="haiT@neal-technology.com" xr:uid="{CCDA0C5D-F865-4659-8E2E-7004A6459C92}"/>
  </hyperlinks>
  <pageMargins left="0.7" right="0.7" top="0.75" bottom="0.75" header="0.3" footer="0.3"/>
  <pageSetup scale="7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5" name="Button 1">
              <controlPr defaultSize="0" print="0" autoFill="0" autoPict="0" macro="[0]!Button2_Click">
                <anchor moveWithCells="1" sizeWithCells="1">
                  <from>
                    <xdr:col>1</xdr:col>
                    <xdr:colOff>28575</xdr:colOff>
                    <xdr:row>1</xdr:row>
                    <xdr:rowOff>9525</xdr:rowOff>
                  </from>
                  <to>
                    <xdr:col>1</xdr:col>
                    <xdr:colOff>952500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BH-LCB</vt:lpstr>
      <vt:lpstr>Templ</vt:lpstr>
      <vt:lpstr>NT018-Hồ Nhân Trí </vt:lpstr>
      <vt:lpstr>bao_hiem</vt:lpstr>
      <vt:lpstr>cham_cong</vt:lpstr>
      <vt:lpstr>cham_cong_2</vt:lpstr>
      <vt:lpstr>cham_cong_3</vt:lpstr>
      <vt:lpstr>thue</vt:lpstr>
      <vt:lpstr>tien_luong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2020-08-31T03:22:44Z</dcterms:modified>
</cp:coreProperties>
</file>